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05" activeTab="1"/>
  </bookViews>
  <sheets>
    <sheet name="Cover Page" sheetId="13" r:id="rId1"/>
    <sheet name="Index" sheetId="12" r:id="rId2"/>
    <sheet name="PROJECT AT GLANCE" sheetId="11" r:id="rId3"/>
    <sheet name="FEASIBILITY REPORT" sheetId="42" r:id="rId4"/>
    <sheet name="Cost" sheetId="29" r:id="rId5"/>
    <sheet name="profit" sheetId="9" r:id="rId6"/>
    <sheet name="B.sheet" sheetId="24" r:id="rId7"/>
    <sheet name="Cash" sheetId="8" r:id="rId8"/>
    <sheet name="Depr." sheetId="6" r:id="rId9"/>
    <sheet name="Capital Account" sheetId="32" r:id="rId10"/>
    <sheet name="BEP" sheetId="38" r:id="rId11"/>
    <sheet name="ROCE" sheetId="46" r:id="rId12"/>
    <sheet name="DSCR" sheetId="15" r:id="rId13"/>
    <sheet name="FACR" sheetId="44" r:id="rId14"/>
    <sheet name="Current Ratio" sheetId="33" r:id="rId15"/>
    <sheet name="Quick ratio" sheetId="43" r:id="rId16"/>
    <sheet name="TOL TNW" sheetId="34" r:id="rId17"/>
    <sheet name="DEBT EQUITY" sheetId="35" r:id="rId18"/>
    <sheet name="Salary" sheetId="37" r:id="rId19"/>
    <sheet name="Current Assets Chart" sheetId="41" r:id="rId20"/>
    <sheet name="Profit Chart" sheetId="39" r:id="rId21"/>
    <sheet name="Sales Chart" sheetId="40" r:id="rId22"/>
  </sheets>
  <definedNames>
    <definedName name="_xlnm.Print_Area" localSheetId="6">B.sheet!$A$1:$H$23</definedName>
    <definedName name="_xlnm.Print_Area" localSheetId="7">Cash!$A$1:$H$31</definedName>
    <definedName name="_xlnm.Print_Area" localSheetId="4">Cost!$A$1:$C$27</definedName>
    <definedName name="_xlnm.Print_Area" localSheetId="19">'Current Assets Chart'!$A$1:$H$30</definedName>
    <definedName name="_xlnm.Print_Area" localSheetId="5">profit!$A$1:$H$43</definedName>
  </definedNames>
  <calcPr calcId="152511"/>
</workbook>
</file>

<file path=xl/calcChain.xml><?xml version="1.0" encoding="utf-8"?>
<calcChain xmlns="http://schemas.openxmlformats.org/spreadsheetml/2006/main">
  <c r="G19" i="8" l="1"/>
  <c r="E19" i="8"/>
  <c r="D19" i="8"/>
  <c r="C19" i="8"/>
  <c r="E23" i="11"/>
  <c r="H15" i="46" l="1"/>
  <c r="G15" i="46"/>
  <c r="F15" i="46"/>
  <c r="E15" i="46"/>
  <c r="D15" i="46"/>
  <c r="C15" i="46"/>
  <c r="B15" i="46"/>
  <c r="H10" i="46"/>
  <c r="G10" i="46"/>
  <c r="F10" i="46"/>
  <c r="E10" i="46"/>
  <c r="D10" i="46"/>
  <c r="C10" i="46"/>
  <c r="B10" i="46"/>
  <c r="A1" i="46"/>
  <c r="H21" i="42"/>
  <c r="H13" i="44"/>
  <c r="G13" i="44"/>
  <c r="F13" i="44"/>
  <c r="E13" i="44"/>
  <c r="D13" i="44"/>
  <c r="D15" i="44" s="1"/>
  <c r="C13" i="44"/>
  <c r="B13" i="44"/>
  <c r="H15" i="44"/>
  <c r="F15" i="44"/>
  <c r="B15" i="44"/>
  <c r="A1" i="44"/>
  <c r="H14" i="43"/>
  <c r="G14" i="43"/>
  <c r="F14" i="43"/>
  <c r="E14" i="43"/>
  <c r="D14" i="43"/>
  <c r="C14" i="43"/>
  <c r="B14" i="43"/>
  <c r="A1" i="43"/>
  <c r="A1" i="42"/>
  <c r="C15" i="44" l="1"/>
  <c r="E15" i="44"/>
  <c r="G15" i="44"/>
  <c r="H14" i="38" l="1"/>
  <c r="G14" i="38"/>
  <c r="F14" i="38"/>
  <c r="E14" i="38"/>
  <c r="D14" i="38"/>
  <c r="C14" i="38"/>
  <c r="B14" i="38"/>
  <c r="B7" i="38"/>
  <c r="A1" i="38"/>
  <c r="K15" i="37" l="1"/>
  <c r="K14" i="37"/>
  <c r="K13" i="37"/>
  <c r="K11" i="37"/>
  <c r="J15" i="37"/>
  <c r="J14" i="37"/>
  <c r="J13" i="37"/>
  <c r="J11" i="37"/>
  <c r="I15" i="37"/>
  <c r="I14" i="37"/>
  <c r="I13" i="37"/>
  <c r="I11" i="37"/>
  <c r="H15" i="37"/>
  <c r="H14" i="37"/>
  <c r="H13" i="37"/>
  <c r="H11" i="37"/>
  <c r="G15" i="37"/>
  <c r="G14" i="37"/>
  <c r="G13" i="37"/>
  <c r="G11" i="37"/>
  <c r="F15" i="37"/>
  <c r="F14" i="37"/>
  <c r="F13" i="37"/>
  <c r="F11" i="37"/>
  <c r="C17" i="37"/>
  <c r="E15" i="37"/>
  <c r="E13" i="37"/>
  <c r="E11" i="37"/>
  <c r="D14" i="37"/>
  <c r="E14" i="37" s="1"/>
  <c r="H9" i="35"/>
  <c r="H11" i="35" s="1"/>
  <c r="G9" i="35"/>
  <c r="F9" i="35"/>
  <c r="E9" i="35"/>
  <c r="D9" i="35"/>
  <c r="C9" i="35"/>
  <c r="B9" i="35"/>
  <c r="H9" i="34"/>
  <c r="H11" i="34" s="1"/>
  <c r="G9" i="34"/>
  <c r="F9" i="34"/>
  <c r="E9" i="34"/>
  <c r="D9" i="34"/>
  <c r="C9" i="34"/>
  <c r="B9" i="34"/>
  <c r="H15" i="33"/>
  <c r="G15" i="33"/>
  <c r="F15" i="33"/>
  <c r="E15" i="33"/>
  <c r="D15" i="33"/>
  <c r="C15" i="33"/>
  <c r="B15" i="33"/>
  <c r="E17" i="8"/>
  <c r="D17" i="8"/>
  <c r="C45" i="9"/>
  <c r="B45" i="9"/>
  <c r="B20" i="6"/>
  <c r="B14" i="6"/>
  <c r="B15" i="6" s="1"/>
  <c r="B17" i="6" s="1"/>
  <c r="B26" i="6" s="1"/>
  <c r="B15" i="9" s="1"/>
  <c r="B13" i="38" s="1"/>
  <c r="B16" i="38" s="1"/>
  <c r="D7" i="9"/>
  <c r="C7" i="9"/>
  <c r="B59" i="9"/>
  <c r="B58" i="9"/>
  <c r="B57" i="9"/>
  <c r="B56" i="9"/>
  <c r="B55" i="9"/>
  <c r="C54" i="9"/>
  <c r="B54" i="9"/>
  <c r="C26" i="29"/>
  <c r="C18" i="29"/>
  <c r="C19" i="29"/>
  <c r="C17" i="29"/>
  <c r="C20" i="29" s="1"/>
  <c r="A18" i="29"/>
  <c r="A19" i="29"/>
  <c r="A17" i="29"/>
  <c r="D7" i="38" l="1"/>
  <c r="C7" i="38"/>
  <c r="E7" i="9"/>
  <c r="D45" i="9"/>
  <c r="C17" i="8"/>
  <c r="B17" i="8"/>
  <c r="E17" i="37"/>
  <c r="B16" i="9" s="1"/>
  <c r="G17" i="37"/>
  <c r="F17" i="37"/>
  <c r="B18" i="6"/>
  <c r="C13" i="6" s="1"/>
  <c r="C15" i="6" s="1"/>
  <c r="F17" i="8" l="1"/>
  <c r="F7" i="9"/>
  <c r="E7" i="38"/>
  <c r="E45" i="9"/>
  <c r="B23" i="6"/>
  <c r="B18" i="24" s="1"/>
  <c r="B8" i="44" s="1"/>
  <c r="B10" i="44" s="1"/>
  <c r="B18" i="44" s="1"/>
  <c r="B21" i="42"/>
  <c r="B9" i="38"/>
  <c r="B18" i="38" s="1"/>
  <c r="B20" i="38" s="1"/>
  <c r="H17" i="37"/>
  <c r="C17" i="6"/>
  <c r="H19" i="8"/>
  <c r="F19" i="8"/>
  <c r="F13" i="43" s="1"/>
  <c r="F16" i="43" s="1"/>
  <c r="E13" i="43"/>
  <c r="E16" i="43" s="1"/>
  <c r="D13" i="43"/>
  <c r="D16" i="43" s="1"/>
  <c r="C13" i="43"/>
  <c r="C16" i="43" s="1"/>
  <c r="C13" i="9"/>
  <c r="B9" i="9"/>
  <c r="B18" i="9" s="1"/>
  <c r="H8" i="35"/>
  <c r="G8" i="35"/>
  <c r="G11" i="35" s="1"/>
  <c r="H8" i="34"/>
  <c r="G8" i="34"/>
  <c r="G11" i="34" s="1"/>
  <c r="H15" i="15"/>
  <c r="G15" i="15"/>
  <c r="H10" i="15"/>
  <c r="G10" i="15"/>
  <c r="H21" i="8"/>
  <c r="G21" i="8"/>
  <c r="H18" i="8"/>
  <c r="G18" i="8"/>
  <c r="H20" i="24"/>
  <c r="H8" i="33" s="1"/>
  <c r="G20" i="24"/>
  <c r="G8" i="33" s="1"/>
  <c r="H24" i="9"/>
  <c r="G24" i="9"/>
  <c r="G17" i="8" l="1"/>
  <c r="H17" i="8"/>
  <c r="H14" i="15"/>
  <c r="H17" i="15" s="1"/>
  <c r="H13" i="43"/>
  <c r="H16" i="43" s="1"/>
  <c r="G14" i="15"/>
  <c r="G17" i="15" s="1"/>
  <c r="G13" i="43"/>
  <c r="G16" i="43" s="1"/>
  <c r="G7" i="9"/>
  <c r="F7" i="38"/>
  <c r="F45" i="9"/>
  <c r="C18" i="6"/>
  <c r="C23" i="6" s="1"/>
  <c r="C18" i="24" s="1"/>
  <c r="C8" i="44" s="1"/>
  <c r="C10" i="44" s="1"/>
  <c r="C18" i="44" s="1"/>
  <c r="C21" i="42" s="1"/>
  <c r="C26" i="6"/>
  <c r="C15" i="9" s="1"/>
  <c r="B23" i="38"/>
  <c r="B25" i="38"/>
  <c r="I17" i="37"/>
  <c r="H14" i="33"/>
  <c r="H17" i="33" s="1"/>
  <c r="G14" i="33"/>
  <c r="G17" i="33" s="1"/>
  <c r="H20" i="8"/>
  <c r="F20" i="24"/>
  <c r="G20" i="8" s="1"/>
  <c r="D13" i="9"/>
  <c r="E13" i="9" s="1"/>
  <c r="F13" i="9" s="1"/>
  <c r="G13" i="9" s="1"/>
  <c r="H13" i="9" s="1"/>
  <c r="D8" i="11"/>
  <c r="D7" i="11"/>
  <c r="H7" i="9" l="1"/>
  <c r="G7" i="38"/>
  <c r="G45" i="9"/>
  <c r="C13" i="38"/>
  <c r="C16" i="38" s="1"/>
  <c r="K17" i="37"/>
  <c r="J17" i="37"/>
  <c r="F10" i="15"/>
  <c r="E10" i="15"/>
  <c r="D10" i="15"/>
  <c r="C10" i="15"/>
  <c r="B10" i="15"/>
  <c r="F14" i="15"/>
  <c r="E14" i="15"/>
  <c r="D14" i="15"/>
  <c r="C14" i="15"/>
  <c r="B19" i="8"/>
  <c r="B14" i="15" l="1"/>
  <c r="B13" i="43"/>
  <c r="B16" i="43" s="1"/>
  <c r="H7" i="38"/>
  <c r="H45" i="9"/>
  <c r="F18" i="8"/>
  <c r="E18" i="8"/>
  <c r="D18" i="8"/>
  <c r="C18" i="8"/>
  <c r="B18" i="8"/>
  <c r="XFD33" i="8"/>
  <c r="F8" i="35"/>
  <c r="F11" i="35" s="1"/>
  <c r="E8" i="35"/>
  <c r="E11" i="35" s="1"/>
  <c r="D8" i="35"/>
  <c r="D11" i="35" s="1"/>
  <c r="C8" i="35"/>
  <c r="C11" i="35" s="1"/>
  <c r="B8" i="35"/>
  <c r="B11" i="35" s="1"/>
  <c r="F8" i="34"/>
  <c r="F11" i="34" s="1"/>
  <c r="E8" i="34"/>
  <c r="E11" i="34" s="1"/>
  <c r="D8" i="34"/>
  <c r="D11" i="34" s="1"/>
  <c r="C8" i="34"/>
  <c r="C11" i="34" s="1"/>
  <c r="B8" i="34"/>
  <c r="B11" i="34" s="1"/>
  <c r="B14" i="33"/>
  <c r="B17" i="33" s="1"/>
  <c r="F21" i="8"/>
  <c r="E21" i="8"/>
  <c r="D21" i="8"/>
  <c r="C21" i="8"/>
  <c r="B21" i="8"/>
  <c r="C20" i="24"/>
  <c r="F8" i="33"/>
  <c r="E20" i="24"/>
  <c r="F20" i="8" s="1"/>
  <c r="D20" i="24"/>
  <c r="B20" i="24"/>
  <c r="F14" i="33"/>
  <c r="F17" i="33" s="1"/>
  <c r="E14" i="33"/>
  <c r="E17" i="33" s="1"/>
  <c r="D14" i="33"/>
  <c r="D17" i="33" s="1"/>
  <c r="C14" i="33"/>
  <c r="C17" i="33" s="1"/>
  <c r="F24" i="9"/>
  <c r="E24" i="9"/>
  <c r="D24" i="9"/>
  <c r="C24" i="9"/>
  <c r="C14" i="9"/>
  <c r="D14" i="9" l="1"/>
  <c r="E14" i="9" s="1"/>
  <c r="F14" i="9" s="1"/>
  <c r="G14" i="9" s="1"/>
  <c r="H14" i="9" s="1"/>
  <c r="C16" i="9"/>
  <c r="C9" i="38" s="1"/>
  <c r="C18" i="38" s="1"/>
  <c r="C20" i="38" s="1"/>
  <c r="C25" i="38" s="1"/>
  <c r="D13" i="6"/>
  <c r="D15" i="6" s="1"/>
  <c r="H9" i="9"/>
  <c r="G9" i="9"/>
  <c r="G23" i="8"/>
  <c r="E8" i="33"/>
  <c r="E20" i="8"/>
  <c r="C8" i="33"/>
  <c r="D20" i="8"/>
  <c r="C20" i="8"/>
  <c r="B20" i="8"/>
  <c r="B8" i="33"/>
  <c r="D8" i="33"/>
  <c r="C23" i="38" l="1"/>
  <c r="D17" i="6"/>
  <c r="D18" i="6" s="1"/>
  <c r="D23" i="6" s="1"/>
  <c r="D18" i="24" s="1"/>
  <c r="D8" i="44" s="1"/>
  <c r="D10" i="44" s="1"/>
  <c r="D18" i="44" s="1"/>
  <c r="H23" i="8"/>
  <c r="E19" i="11"/>
  <c r="C11" i="29" s="1"/>
  <c r="D21" i="42" l="1"/>
  <c r="D26" i="6"/>
  <c r="D15" i="9" s="1"/>
  <c r="F15" i="15"/>
  <c r="F17" i="15" s="1"/>
  <c r="C25" i="29"/>
  <c r="B11" i="8" s="1"/>
  <c r="D6" i="11"/>
  <c r="A2" i="29" s="1"/>
  <c r="A2" i="6" s="1"/>
  <c r="D4" i="11"/>
  <c r="A2" i="12"/>
  <c r="A1" i="11" s="1"/>
  <c r="D9" i="9"/>
  <c r="C9" i="9"/>
  <c r="C18" i="9" s="1"/>
  <c r="D13" i="38" l="1"/>
  <c r="D16" i="38" s="1"/>
  <c r="D16" i="9"/>
  <c r="D9" i="38" s="1"/>
  <c r="D18" i="38" s="1"/>
  <c r="D20" i="38" s="1"/>
  <c r="C27" i="29"/>
  <c r="E13" i="6"/>
  <c r="A1" i="29"/>
  <c r="A1" i="6" s="1"/>
  <c r="A1" i="32" s="1"/>
  <c r="A1" i="15" s="1"/>
  <c r="D25" i="38" l="1"/>
  <c r="D23" i="38"/>
  <c r="E15" i="6"/>
  <c r="E17" i="6" s="1"/>
  <c r="A1" i="34"/>
  <c r="A1" i="24"/>
  <c r="A1" i="8" s="1"/>
  <c r="A1" i="9" s="1"/>
  <c r="A1" i="35"/>
  <c r="E9" i="9"/>
  <c r="E26" i="6" l="1"/>
  <c r="E15" i="9" s="1"/>
  <c r="E13" i="38" s="1"/>
  <c r="E16" i="38" s="1"/>
  <c r="A1" i="33"/>
  <c r="F9" i="9"/>
  <c r="E18" i="6" l="1"/>
  <c r="B37" i="9"/>
  <c r="B10" i="8"/>
  <c r="B15" i="15"/>
  <c r="B17" i="15" s="1"/>
  <c r="F13" i="6" l="1"/>
  <c r="E23" i="6"/>
  <c r="E18" i="24" s="1"/>
  <c r="E8" i="44" s="1"/>
  <c r="E10" i="44" s="1"/>
  <c r="E18" i="44" s="1"/>
  <c r="F15" i="6"/>
  <c r="B22" i="9"/>
  <c r="B27" i="9" s="1"/>
  <c r="C23" i="8"/>
  <c r="B9" i="15"/>
  <c r="C22" i="9"/>
  <c r="C27" i="9" s="1"/>
  <c r="E21" i="42" l="1"/>
  <c r="F17" i="6"/>
  <c r="F26" i="6" s="1"/>
  <c r="F15" i="9" s="1"/>
  <c r="F13" i="38" s="1"/>
  <c r="F16" i="38" s="1"/>
  <c r="B23" i="8"/>
  <c r="B31" i="9"/>
  <c r="E27" i="11"/>
  <c r="C10" i="8"/>
  <c r="C37" i="9"/>
  <c r="C31" i="9"/>
  <c r="C19" i="42" l="1"/>
  <c r="B19" i="42"/>
  <c r="C47" i="9"/>
  <c r="C48" i="9" s="1"/>
  <c r="B47" i="9"/>
  <c r="B48" i="9" s="1"/>
  <c r="F18" i="6"/>
  <c r="E34" i="11"/>
  <c r="B11" i="32"/>
  <c r="C11" i="32"/>
  <c r="C9" i="15"/>
  <c r="D18" i="9"/>
  <c r="D22" i="9" s="1"/>
  <c r="D27" i="9" s="1"/>
  <c r="B35" i="9" l="1"/>
  <c r="B9" i="46"/>
  <c r="C35" i="9"/>
  <c r="C9" i="46"/>
  <c r="G13" i="6"/>
  <c r="G15" i="6" s="1"/>
  <c r="G17" i="6" s="1"/>
  <c r="F23" i="6"/>
  <c r="F18" i="24" s="1"/>
  <c r="F8" i="44" s="1"/>
  <c r="F10" i="44" s="1"/>
  <c r="F18" i="44" s="1"/>
  <c r="F21" i="42" s="1"/>
  <c r="G26" i="6"/>
  <c r="G15" i="9" s="1"/>
  <c r="G13" i="38" s="1"/>
  <c r="G16" i="38" s="1"/>
  <c r="D23" i="8"/>
  <c r="B12" i="8"/>
  <c r="C12" i="8"/>
  <c r="C24" i="29"/>
  <c r="C29" i="29" s="1"/>
  <c r="D10" i="8"/>
  <c r="D37" i="9"/>
  <c r="D31" i="9"/>
  <c r="D19" i="42" l="1"/>
  <c r="C39" i="9"/>
  <c r="C43" i="9" s="1"/>
  <c r="C8" i="46"/>
  <c r="C11" i="46" s="1"/>
  <c r="B39" i="9"/>
  <c r="B43" i="9" s="1"/>
  <c r="B8" i="46"/>
  <c r="B11" i="46" s="1"/>
  <c r="D47" i="9"/>
  <c r="D48" i="9" s="1"/>
  <c r="G18" i="6"/>
  <c r="G37" i="9"/>
  <c r="G9" i="15" s="1"/>
  <c r="G10" i="8"/>
  <c r="G16" i="9"/>
  <c r="B26" i="8"/>
  <c r="B10" i="32"/>
  <c r="B13" i="32" s="1"/>
  <c r="B17" i="32" s="1"/>
  <c r="C9" i="8"/>
  <c r="B9" i="8"/>
  <c r="B14" i="8" s="1"/>
  <c r="B28" i="8" s="1"/>
  <c r="B8" i="15"/>
  <c r="B11" i="15" s="1"/>
  <c r="D11" i="32"/>
  <c r="E23" i="8"/>
  <c r="C15" i="15"/>
  <c r="C17" i="15" s="1"/>
  <c r="D9" i="15"/>
  <c r="H13" i="6" l="1"/>
  <c r="H15" i="6" s="1"/>
  <c r="H17" i="6" s="1"/>
  <c r="H26" i="6" s="1"/>
  <c r="H15" i="9" s="1"/>
  <c r="H13" i="38" s="1"/>
  <c r="H16" i="38" s="1"/>
  <c r="G23" i="6"/>
  <c r="G18" i="24" s="1"/>
  <c r="G8" i="44" s="1"/>
  <c r="G10" i="44" s="1"/>
  <c r="G18" i="44" s="1"/>
  <c r="D35" i="9"/>
  <c r="D9" i="46"/>
  <c r="G18" i="9"/>
  <c r="G22" i="9" s="1"/>
  <c r="G27" i="9" s="1"/>
  <c r="G31" i="9" s="1"/>
  <c r="G47" i="9" s="1"/>
  <c r="G48" i="9" s="1"/>
  <c r="G9" i="38"/>
  <c r="G18" i="38" s="1"/>
  <c r="G20" i="38" s="1"/>
  <c r="H18" i="6"/>
  <c r="H23" i="6" s="1"/>
  <c r="H18" i="24" s="1"/>
  <c r="H8" i="44" s="1"/>
  <c r="H10" i="44" s="1"/>
  <c r="B20" i="15"/>
  <c r="B13" i="42" s="1"/>
  <c r="B30" i="8"/>
  <c r="C26" i="8" s="1"/>
  <c r="B10" i="24"/>
  <c r="B14" i="24" s="1"/>
  <c r="C10" i="32"/>
  <c r="C13" i="32" s="1"/>
  <c r="C17" i="32" s="1"/>
  <c r="E16" i="9"/>
  <c r="D12" i="8"/>
  <c r="F16" i="9"/>
  <c r="G12" i="8" l="1"/>
  <c r="G9" i="46"/>
  <c r="G19" i="42"/>
  <c r="D39" i="9"/>
  <c r="D43" i="9" s="1"/>
  <c r="D8" i="46"/>
  <c r="D11" i="46" s="1"/>
  <c r="G11" i="32"/>
  <c r="G21" i="42"/>
  <c r="B20" i="44"/>
  <c r="F18" i="9"/>
  <c r="F22" i="9" s="1"/>
  <c r="F27" i="9" s="1"/>
  <c r="F31" i="9" s="1"/>
  <c r="F9" i="38"/>
  <c r="F18" i="38" s="1"/>
  <c r="F20" i="38" s="1"/>
  <c r="E18" i="9"/>
  <c r="E22" i="9" s="1"/>
  <c r="E27" i="9" s="1"/>
  <c r="E31" i="9" s="1"/>
  <c r="E47" i="9" s="1"/>
  <c r="E48" i="9" s="1"/>
  <c r="E9" i="38"/>
  <c r="E18" i="38" s="1"/>
  <c r="E20" i="38" s="1"/>
  <c r="G25" i="38"/>
  <c r="G23" i="38"/>
  <c r="G35" i="9"/>
  <c r="G8" i="46" s="1"/>
  <c r="G11" i="46" s="1"/>
  <c r="H10" i="8"/>
  <c r="H16" i="9"/>
  <c r="H37" i="9"/>
  <c r="H9" i="15" s="1"/>
  <c r="G9" i="8"/>
  <c r="E30" i="11"/>
  <c r="C10" i="24"/>
  <c r="C14" i="24" s="1"/>
  <c r="D10" i="32"/>
  <c r="D13" i="32" s="1"/>
  <c r="D17" i="32" s="1"/>
  <c r="B23" i="24"/>
  <c r="B14" i="35"/>
  <c r="B16" i="35" s="1"/>
  <c r="B19" i="35" s="1"/>
  <c r="B17" i="42" s="1"/>
  <c r="B14" i="34"/>
  <c r="B16" i="34" s="1"/>
  <c r="B19" i="34" s="1"/>
  <c r="B15" i="42" s="1"/>
  <c r="E10" i="8"/>
  <c r="E37" i="9"/>
  <c r="E9" i="15" s="1"/>
  <c r="D9" i="8"/>
  <c r="E11" i="32"/>
  <c r="C14" i="8"/>
  <c r="C28" i="8" s="1"/>
  <c r="C30" i="8" s="1"/>
  <c r="C8" i="15"/>
  <c r="C11" i="15" s="1"/>
  <c r="C20" i="15" s="1"/>
  <c r="C13" i="42" s="1"/>
  <c r="F10" i="8"/>
  <c r="F37" i="9"/>
  <c r="G39" i="9" l="1"/>
  <c r="G43" i="9" s="1"/>
  <c r="E35" i="9"/>
  <c r="E8" i="46" s="1"/>
  <c r="G8" i="15"/>
  <c r="G11" i="15" s="1"/>
  <c r="G20" i="15" s="1"/>
  <c r="G13" i="42" s="1"/>
  <c r="F19" i="42"/>
  <c r="G14" i="8"/>
  <c r="G28" i="8" s="1"/>
  <c r="E19" i="42"/>
  <c r="B21" i="24"/>
  <c r="B8" i="43" s="1"/>
  <c r="B10" i="43" s="1"/>
  <c r="B19" i="43" s="1"/>
  <c r="B14" i="46"/>
  <c r="B17" i="46" s="1"/>
  <c r="B20" i="46" s="1"/>
  <c r="E25" i="38"/>
  <c r="E23" i="38"/>
  <c r="F23" i="38"/>
  <c r="F25" i="38"/>
  <c r="H18" i="9"/>
  <c r="H22" i="9" s="1"/>
  <c r="H27" i="9" s="1"/>
  <c r="H31" i="9" s="1"/>
  <c r="H47" i="9" s="1"/>
  <c r="H48" i="9" s="1"/>
  <c r="H9" i="38"/>
  <c r="H18" i="38" s="1"/>
  <c r="H20" i="38" s="1"/>
  <c r="F47" i="9"/>
  <c r="F48" i="9" s="1"/>
  <c r="H11" i="32"/>
  <c r="E33" i="11"/>
  <c r="E32" i="11"/>
  <c r="D10" i="24"/>
  <c r="D14" i="24" s="1"/>
  <c r="E10" i="32"/>
  <c r="E13" i="32" s="1"/>
  <c r="E17" i="32" s="1"/>
  <c r="C14" i="34"/>
  <c r="C16" i="34" s="1"/>
  <c r="C19" i="34" s="1"/>
  <c r="C15" i="42" s="1"/>
  <c r="C23" i="24"/>
  <c r="C14" i="35"/>
  <c r="C16" i="35" s="1"/>
  <c r="C19" i="35" s="1"/>
  <c r="C17" i="42" s="1"/>
  <c r="F23" i="8"/>
  <c r="F11" i="32"/>
  <c r="F9" i="15"/>
  <c r="D26" i="8"/>
  <c r="E12" i="8" l="1"/>
  <c r="E9" i="46"/>
  <c r="E11" i="46" s="1"/>
  <c r="H19" i="42"/>
  <c r="B9" i="33"/>
  <c r="B11" i="33" s="1"/>
  <c r="H35" i="9"/>
  <c r="H39" i="9" s="1"/>
  <c r="H43" i="9" s="1"/>
  <c r="F35" i="9"/>
  <c r="F8" i="46" s="1"/>
  <c r="F9" i="46"/>
  <c r="C21" i="24"/>
  <c r="C8" i="43" s="1"/>
  <c r="C10" i="43" s="1"/>
  <c r="C19" i="43" s="1"/>
  <c r="C11" i="42" s="1"/>
  <c r="C14" i="46"/>
  <c r="C17" i="46" s="1"/>
  <c r="C20" i="46" s="1"/>
  <c r="C23" i="42" s="1"/>
  <c r="B23" i="42"/>
  <c r="B11" i="42"/>
  <c r="H23" i="38"/>
  <c r="H25" i="38"/>
  <c r="F10" i="32"/>
  <c r="F13" i="32" s="1"/>
  <c r="F17" i="32" s="1"/>
  <c r="E10" i="24"/>
  <c r="E14" i="24" s="1"/>
  <c r="C9" i="33"/>
  <c r="C11" i="33" s="1"/>
  <c r="D14" i="35"/>
  <c r="D16" i="35" s="1"/>
  <c r="D19" i="35" s="1"/>
  <c r="D17" i="42" s="1"/>
  <c r="D23" i="24"/>
  <c r="D14" i="34"/>
  <c r="D16" i="34" s="1"/>
  <c r="D19" i="34" s="1"/>
  <c r="D15" i="42" s="1"/>
  <c r="E39" i="9"/>
  <c r="E43" i="9" s="1"/>
  <c r="E9" i="8"/>
  <c r="F12" i="8"/>
  <c r="F11" i="46" l="1"/>
  <c r="H8" i="15"/>
  <c r="H11" i="15" s="1"/>
  <c r="H20" i="15" s="1"/>
  <c r="H13" i="42" s="1"/>
  <c r="H8" i="46"/>
  <c r="H9" i="8"/>
  <c r="B20" i="33"/>
  <c r="E31" i="11" s="1"/>
  <c r="H12" i="8"/>
  <c r="H9" i="46"/>
  <c r="D21" i="24"/>
  <c r="D8" i="43" s="1"/>
  <c r="D10" i="43" s="1"/>
  <c r="D19" i="43" s="1"/>
  <c r="D11" i="42" s="1"/>
  <c r="D14" i="46"/>
  <c r="D17" i="46" s="1"/>
  <c r="D20" i="46" s="1"/>
  <c r="C20" i="33"/>
  <c r="C9" i="42" s="1"/>
  <c r="F10" i="24"/>
  <c r="F14" i="24" s="1"/>
  <c r="F23" i="24" s="1"/>
  <c r="G10" i="32"/>
  <c r="G13" i="32" s="1"/>
  <c r="G17" i="32" s="1"/>
  <c r="E23" i="24"/>
  <c r="E14" i="34"/>
  <c r="E16" i="34" s="1"/>
  <c r="E19" i="34" s="1"/>
  <c r="E15" i="42" s="1"/>
  <c r="E14" i="35"/>
  <c r="E16" i="35" s="1"/>
  <c r="E19" i="35" s="1"/>
  <c r="E17" i="42" s="1"/>
  <c r="F39" i="9"/>
  <c r="F43" i="9" s="1"/>
  <c r="F9" i="8"/>
  <c r="F14" i="8" s="1"/>
  <c r="F28" i="8" s="1"/>
  <c r="F8" i="15"/>
  <c r="F11" i="15" s="1"/>
  <c r="F20" i="15" s="1"/>
  <c r="F13" i="42" s="1"/>
  <c r="D15" i="15"/>
  <c r="D17" i="15" s="1"/>
  <c r="B9" i="42" l="1"/>
  <c r="H11" i="46"/>
  <c r="H14" i="8"/>
  <c r="H28" i="8" s="1"/>
  <c r="F21" i="24"/>
  <c r="F8" i="43" s="1"/>
  <c r="F10" i="43" s="1"/>
  <c r="F19" i="43" s="1"/>
  <c r="F11" i="42" s="1"/>
  <c r="F14" i="46"/>
  <c r="F17" i="46" s="1"/>
  <c r="F20" i="46" s="1"/>
  <c r="F23" i="42" s="1"/>
  <c r="D9" i="33"/>
  <c r="D11" i="33" s="1"/>
  <c r="D20" i="33" s="1"/>
  <c r="D9" i="42" s="1"/>
  <c r="E21" i="24"/>
  <c r="E8" i="43" s="1"/>
  <c r="E10" i="43" s="1"/>
  <c r="E19" i="43" s="1"/>
  <c r="E14" i="46"/>
  <c r="E17" i="46" s="1"/>
  <c r="E20" i="46" s="1"/>
  <c r="E23" i="42" s="1"/>
  <c r="D23" i="42"/>
  <c r="E9" i="33"/>
  <c r="E11" i="33" s="1"/>
  <c r="F14" i="34"/>
  <c r="F16" i="34" s="1"/>
  <c r="F19" i="34" s="1"/>
  <c r="F15" i="42" s="1"/>
  <c r="F14" i="35"/>
  <c r="F16" i="35" s="1"/>
  <c r="F19" i="35" s="1"/>
  <c r="F17" i="42" s="1"/>
  <c r="G10" i="24"/>
  <c r="G14" i="24" s="1"/>
  <c r="H10" i="32"/>
  <c r="H13" i="32" s="1"/>
  <c r="H17" i="32" s="1"/>
  <c r="H10" i="24" s="1"/>
  <c r="H14" i="24" s="1"/>
  <c r="F9" i="33"/>
  <c r="F11" i="33" s="1"/>
  <c r="D14" i="8"/>
  <c r="D28" i="8" s="1"/>
  <c r="D30" i="8" s="1"/>
  <c r="D8" i="15"/>
  <c r="D11" i="15" s="1"/>
  <c r="D20" i="15" s="1"/>
  <c r="D13" i="42" s="1"/>
  <c r="E11" i="42" l="1"/>
  <c r="F20" i="33"/>
  <c r="F9" i="42" s="1"/>
  <c r="E20" i="33"/>
  <c r="E9" i="42" s="1"/>
  <c r="G23" i="24"/>
  <c r="G14" i="35"/>
  <c r="G16" i="35" s="1"/>
  <c r="G19" i="35" s="1"/>
  <c r="G17" i="42" s="1"/>
  <c r="G14" i="34"/>
  <c r="G16" i="34" s="1"/>
  <c r="G19" i="34" s="1"/>
  <c r="G15" i="42" s="1"/>
  <c r="H23" i="24"/>
  <c r="H14" i="35"/>
  <c r="H16" i="35" s="1"/>
  <c r="H19" i="35" s="1"/>
  <c r="H17" i="42" s="1"/>
  <c r="H14" i="34"/>
  <c r="H16" i="34" s="1"/>
  <c r="H19" i="34" s="1"/>
  <c r="H15" i="42" s="1"/>
  <c r="E26" i="8"/>
  <c r="G21" i="24" l="1"/>
  <c r="G8" i="43" s="1"/>
  <c r="G10" i="43" s="1"/>
  <c r="G19" i="43" s="1"/>
  <c r="G14" i="46"/>
  <c r="G17" i="46" s="1"/>
  <c r="G20" i="46" s="1"/>
  <c r="H21" i="24"/>
  <c r="H8" i="43" s="1"/>
  <c r="H10" i="43" s="1"/>
  <c r="H19" i="43" s="1"/>
  <c r="H11" i="42" s="1"/>
  <c r="H14" i="46"/>
  <c r="H17" i="46" s="1"/>
  <c r="H20" i="46" s="1"/>
  <c r="H23" i="42" s="1"/>
  <c r="H9" i="33"/>
  <c r="H11" i="33" s="1"/>
  <c r="B21" i="35"/>
  <c r="B21" i="34"/>
  <c r="E15" i="15"/>
  <c r="E17" i="15" s="1"/>
  <c r="G11" i="42" l="1"/>
  <c r="B21" i="43"/>
  <c r="G9" i="33"/>
  <c r="G11" i="33" s="1"/>
  <c r="G20" i="33" s="1"/>
  <c r="G9" i="42" s="1"/>
  <c r="G23" i="42"/>
  <c r="B22" i="46"/>
  <c r="H20" i="33"/>
  <c r="H9" i="42" s="1"/>
  <c r="E14" i="8"/>
  <c r="E28" i="8" s="1"/>
  <c r="E30" i="8" s="1"/>
  <c r="E8" i="15"/>
  <c r="B22" i="33" l="1"/>
  <c r="E11" i="15"/>
  <c r="E20" i="15" s="1"/>
  <c r="F26" i="8"/>
  <c r="F30" i="8" s="1"/>
  <c r="B22" i="15" l="1"/>
  <c r="E13" i="42"/>
  <c r="G26" i="8"/>
  <c r="G30" i="8" s="1"/>
  <c r="H26" i="8" l="1"/>
  <c r="H30" i="8" s="1"/>
</calcChain>
</file>

<file path=xl/sharedStrings.xml><?xml version="1.0" encoding="utf-8"?>
<sst xmlns="http://schemas.openxmlformats.org/spreadsheetml/2006/main" count="425" uniqueCount="257">
  <si>
    <t>PROJECTIONS AND PROFITABILITY STATEMENT</t>
  </si>
  <si>
    <t>PARTICULARS</t>
  </si>
  <si>
    <t xml:space="preserve">     Depreciation</t>
  </si>
  <si>
    <t>G.  Income Tax</t>
  </si>
  <si>
    <t>J.   Cash Accruals ( H + I )</t>
  </si>
  <si>
    <t>CASH - FLOW STATEMENT :</t>
  </si>
  <si>
    <t xml:space="preserve">    Profit after Tax</t>
  </si>
  <si>
    <t xml:space="preserve">    Depreciation</t>
  </si>
  <si>
    <t xml:space="preserve"> </t>
  </si>
  <si>
    <t xml:space="preserve">    TOTAL OF ' A '</t>
  </si>
  <si>
    <t xml:space="preserve">     TOTAL OF ' B '</t>
  </si>
  <si>
    <t>C.  Opening Balance</t>
  </si>
  <si>
    <t>D.  Net surplus ( A - B )</t>
  </si>
  <si>
    <t>E.  Closing Balance</t>
  </si>
  <si>
    <t xml:space="preserve">     TOTAL </t>
  </si>
  <si>
    <t xml:space="preserve">    </t>
  </si>
  <si>
    <t>CHAPTER NO. 1</t>
  </si>
  <si>
    <t>PROJECT AT GLANCE :</t>
  </si>
  <si>
    <t>Name</t>
  </si>
  <si>
    <t>:</t>
  </si>
  <si>
    <t>I  N  D  E  X</t>
  </si>
  <si>
    <t>Address</t>
  </si>
  <si>
    <t>SL.</t>
  </si>
  <si>
    <t>C O N T E N T S</t>
  </si>
  <si>
    <t>PAGES</t>
  </si>
  <si>
    <t>CHAPTER :</t>
  </si>
  <si>
    <t>PROJECT AT GLANCE</t>
  </si>
  <si>
    <t>Cost of the project</t>
  </si>
  <si>
    <t>Particulars</t>
  </si>
  <si>
    <t>Total</t>
  </si>
  <si>
    <t>COST OF THE PROJECT AND MEANS OF FINANCE</t>
  </si>
  <si>
    <t>Means of Finance</t>
  </si>
  <si>
    <t>Promoters Contribution</t>
  </si>
  <si>
    <t>A N N E X U R E S</t>
  </si>
  <si>
    <t>DEPRECIATION SCHEDULE</t>
  </si>
  <si>
    <t>BREAK EVEN ANALYSIS</t>
  </si>
  <si>
    <t>Debt Equity Ratio</t>
  </si>
  <si>
    <t>STATEMENT NO.2</t>
  </si>
  <si>
    <t xml:space="preserve"> ANNEXURE NO.4</t>
  </si>
  <si>
    <t xml:space="preserve"> ANNEXURE NO.5</t>
  </si>
  <si>
    <t>DEPRECIATION SCHEDULE:</t>
  </si>
  <si>
    <t xml:space="preserve">      Profit after tax</t>
  </si>
  <si>
    <t xml:space="preserve">      Depreciation</t>
  </si>
  <si>
    <t>STATEMENT NO. 1</t>
  </si>
  <si>
    <t>COST OF THE PROJECT AND MEANS OF FINANCE:</t>
  </si>
  <si>
    <t xml:space="preserve">      Term loan installment </t>
  </si>
  <si>
    <t>Brief details of the project cost is given below</t>
  </si>
  <si>
    <t>Total Depreciation</t>
  </si>
  <si>
    <t>STATEMENT No.3</t>
  </si>
  <si>
    <t xml:space="preserve">     </t>
  </si>
  <si>
    <t>The project cost has been estimated at Rs.</t>
  </si>
  <si>
    <t>Nature of Business</t>
  </si>
  <si>
    <t>STATEMENT No.4</t>
  </si>
  <si>
    <t>L. Repayment of Term Loan</t>
  </si>
  <si>
    <t>BALANCE SHEET</t>
  </si>
  <si>
    <t xml:space="preserve">    TOTAL</t>
  </si>
  <si>
    <t>DEBT SERVICE COVERAGE RATIO :</t>
  </si>
  <si>
    <t xml:space="preserve">C   Debt Service Coverage Ratio </t>
  </si>
  <si>
    <t xml:space="preserve"> ANNEXURE NO.1</t>
  </si>
  <si>
    <t>Total Assets</t>
  </si>
  <si>
    <t xml:space="preserve">      TOTAL OF ' B '</t>
  </si>
  <si>
    <t xml:space="preserve">      Interest on Term Loan</t>
  </si>
  <si>
    <t xml:space="preserve">DETAILED PROJECT REPORT FOR </t>
  </si>
  <si>
    <t>I.   Depreciation added back</t>
  </si>
  <si>
    <t>H. Profit after Tax (  F-G )</t>
  </si>
  <si>
    <t xml:space="preserve">      DSCR        [ A / B ]</t>
  </si>
  <si>
    <t>Reg.Office:</t>
  </si>
  <si>
    <t>Term Loan from Bank / Institution</t>
  </si>
  <si>
    <t xml:space="preserve">      Repayment of loan</t>
  </si>
  <si>
    <t>D   Average DSCR</t>
  </si>
  <si>
    <t xml:space="preserve">      TOTAL OF ' A '</t>
  </si>
  <si>
    <t xml:space="preserve">    Capital Account</t>
  </si>
  <si>
    <t>[1+2+3+4]</t>
  </si>
  <si>
    <t>M.  Net Cash A'ble   (J - K))</t>
  </si>
  <si>
    <t>Operating years</t>
  </si>
  <si>
    <t>Operating Years</t>
  </si>
  <si>
    <t>WDV at the year end</t>
  </si>
  <si>
    <t>Proprietor Contribution</t>
  </si>
  <si>
    <t xml:space="preserve">     Cost of Operations</t>
  </si>
  <si>
    <r>
      <t xml:space="preserve">A.   </t>
    </r>
    <r>
      <rPr>
        <b/>
        <sz val="11"/>
        <rFont val="Times New Roman"/>
        <family val="1"/>
      </rPr>
      <t>SOURCES</t>
    </r>
    <r>
      <rPr>
        <sz val="11"/>
        <rFont val="Times New Roman"/>
        <family val="1"/>
      </rPr>
      <t xml:space="preserve"> :</t>
    </r>
  </si>
  <si>
    <r>
      <t xml:space="preserve">B    </t>
    </r>
    <r>
      <rPr>
        <b/>
        <sz val="11"/>
        <rFont val="Times New Roman"/>
        <family val="1"/>
      </rPr>
      <t>DEBT</t>
    </r>
    <r>
      <rPr>
        <sz val="11"/>
        <rFont val="Times New Roman"/>
        <family val="1"/>
      </rPr>
      <t xml:space="preserve"> :</t>
    </r>
  </si>
  <si>
    <r>
      <t>A. LIABILITIES</t>
    </r>
    <r>
      <rPr>
        <b/>
        <u/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:</t>
    </r>
  </si>
  <si>
    <r>
      <t xml:space="preserve">B.  </t>
    </r>
    <r>
      <rPr>
        <b/>
        <u/>
        <sz val="11"/>
        <rFont val="Times New Roman"/>
        <family val="1"/>
      </rPr>
      <t xml:space="preserve">ASSETS </t>
    </r>
    <r>
      <rPr>
        <b/>
        <sz val="11"/>
        <rFont val="Times New Roman"/>
        <family val="1"/>
      </rPr>
      <t>:</t>
    </r>
  </si>
  <si>
    <r>
      <t xml:space="preserve">A. </t>
    </r>
    <r>
      <rPr>
        <b/>
        <u/>
        <sz val="11"/>
        <rFont val="Times New Roman"/>
        <family val="1"/>
      </rPr>
      <t xml:space="preserve">Source of Funds </t>
    </r>
    <r>
      <rPr>
        <b/>
        <sz val="11"/>
        <rFont val="Times New Roman"/>
        <family val="1"/>
      </rPr>
      <t>:</t>
    </r>
  </si>
  <si>
    <r>
      <t xml:space="preserve">B.  </t>
    </r>
    <r>
      <rPr>
        <b/>
        <u/>
        <sz val="11"/>
        <rFont val="Times New Roman"/>
        <family val="1"/>
      </rPr>
      <t xml:space="preserve">Application of Funds </t>
    </r>
    <r>
      <rPr>
        <b/>
        <sz val="11"/>
        <rFont val="Times New Roman"/>
        <family val="1"/>
      </rPr>
      <t>:</t>
    </r>
  </si>
  <si>
    <r>
      <t xml:space="preserve">B. </t>
    </r>
    <r>
      <rPr>
        <b/>
        <sz val="11"/>
        <rFont val="Times New Roman"/>
        <family val="1"/>
      </rPr>
      <t>EXPENSES:</t>
    </r>
  </si>
  <si>
    <t>In Rs.</t>
  </si>
  <si>
    <t xml:space="preserve">     Electricity Expense</t>
  </si>
  <si>
    <t xml:space="preserve"> A.</t>
  </si>
  <si>
    <t>Sales</t>
  </si>
  <si>
    <t xml:space="preserve">     Purchase</t>
  </si>
  <si>
    <t>Add : Opening Stock</t>
  </si>
  <si>
    <t>Less : Closing Stock</t>
  </si>
  <si>
    <t>C.  Work Cost [ A - B ]</t>
  </si>
  <si>
    <t>Cost Of Production</t>
  </si>
  <si>
    <t>E. Selling Expense</t>
  </si>
  <si>
    <t xml:space="preserve">     Misc Expense</t>
  </si>
  <si>
    <t>Other Revenue</t>
  </si>
  <si>
    <t>D(1) Cost of Goods Sold</t>
  </si>
  <si>
    <t>F.  Profit before Tax[ D(1)-E ]</t>
  </si>
  <si>
    <t>CAPITAL ACCOUNT</t>
  </si>
  <si>
    <t xml:space="preserve">Opening Balance : </t>
  </si>
  <si>
    <t xml:space="preserve">    Net Profit</t>
  </si>
  <si>
    <t>Less : Personal Withdrawls</t>
  </si>
  <si>
    <t>Closing Balance</t>
  </si>
  <si>
    <t xml:space="preserve">      Fixed Assets</t>
  </si>
  <si>
    <t xml:space="preserve">      Cash &amp; Bank</t>
  </si>
  <si>
    <t xml:space="preserve">      Investments</t>
  </si>
  <si>
    <t>Stock in Trade</t>
  </si>
  <si>
    <t xml:space="preserve">      Increase in Current Assets</t>
  </si>
  <si>
    <t xml:space="preserve">      Personal Withdraw</t>
  </si>
  <si>
    <t>Year 1</t>
  </si>
  <si>
    <t>CURRENT RATIO :</t>
  </si>
  <si>
    <t>A. Current Assets</t>
  </si>
  <si>
    <t>C   Current Ratio</t>
  </si>
  <si>
    <t>TOL/TNW</t>
  </si>
  <si>
    <t>A. Total Outside Liabilities</t>
  </si>
  <si>
    <t>Term Loan</t>
  </si>
  <si>
    <t>B    Total Net Worth</t>
  </si>
  <si>
    <t xml:space="preserve">       Proprietors Capital</t>
  </si>
  <si>
    <t>D   Average CR</t>
  </si>
  <si>
    <t>D   Average TOL/TNW</t>
  </si>
  <si>
    <t>DEBT EQUITY RATIO</t>
  </si>
  <si>
    <t>A. Total Long Term Debts</t>
  </si>
  <si>
    <t>B    Total Equity</t>
  </si>
  <si>
    <t xml:space="preserve">          [ A / B ]</t>
  </si>
  <si>
    <t>D   Average Debt Equity</t>
  </si>
  <si>
    <t xml:space="preserve">         [ A / B ]</t>
  </si>
  <si>
    <t xml:space="preserve">        [ A / B ]</t>
  </si>
  <si>
    <t xml:space="preserve">    Provision For Tax</t>
  </si>
  <si>
    <t xml:space="preserve">      Fixed Assets Purchased</t>
  </si>
  <si>
    <t>CASH FLOW</t>
  </si>
  <si>
    <t>STATEMENT No.2</t>
  </si>
  <si>
    <t>CURRENT RATIO</t>
  </si>
  <si>
    <t xml:space="preserve"> ANNEXURE NO.6</t>
  </si>
  <si>
    <t xml:space="preserve"> ANNEXURE NO.7</t>
  </si>
  <si>
    <t>Debt Service Coverage Ratio</t>
  </si>
  <si>
    <t>Current ratio</t>
  </si>
  <si>
    <t>Net Profit Rate</t>
  </si>
  <si>
    <t>Monthly Instalment</t>
  </si>
  <si>
    <t>Monthly Income</t>
  </si>
  <si>
    <t>Promotors Contribution</t>
  </si>
  <si>
    <t xml:space="preserve">     Salary &amp; Wages</t>
  </si>
  <si>
    <t xml:space="preserve">    Opening Balance : </t>
  </si>
  <si>
    <t xml:space="preserve">    Total</t>
  </si>
  <si>
    <t xml:space="preserve">    Less : Depriciation</t>
  </si>
  <si>
    <t xml:space="preserve">    Closing Balance : </t>
  </si>
  <si>
    <t>Address :</t>
  </si>
  <si>
    <t xml:space="preserve">           (Rs.)</t>
  </si>
  <si>
    <t>Machinery &amp; Equipments</t>
  </si>
  <si>
    <t>(Rs.)</t>
  </si>
  <si>
    <t>1. Machinery &amp; Equipments</t>
  </si>
  <si>
    <t>Malan Food Products Pvt Ltd</t>
  </si>
  <si>
    <t>Rudreswar, Parbatkash</t>
  </si>
  <si>
    <t>North Guwahati</t>
  </si>
  <si>
    <t>Guwahati-781030</t>
  </si>
  <si>
    <t>Hence this project Report is presented.</t>
  </si>
  <si>
    <t xml:space="preserve">This project has been designed to establish a Bakery. It is a Private Limited Company . The Company having experience in this line of business. Now it is proposed  to start operation with financial assistance from a suitable commercial bank. </t>
  </si>
  <si>
    <t>Bakery</t>
  </si>
  <si>
    <t>Stock Purchase</t>
  </si>
  <si>
    <t>Construction</t>
  </si>
  <si>
    <t>Cash Credit</t>
  </si>
  <si>
    <t xml:space="preserve">    Addition</t>
  </si>
  <si>
    <t xml:space="preserve">    Term Loan</t>
  </si>
  <si>
    <t xml:space="preserve">    Cash Credit</t>
  </si>
  <si>
    <t xml:space="preserve">      Interest on loan</t>
  </si>
  <si>
    <t>D.  Interest: on loan</t>
  </si>
  <si>
    <t xml:space="preserve">      Cash Credit</t>
  </si>
  <si>
    <t>MAN POWER REQUIRMENTS</t>
  </si>
  <si>
    <t>Sl.</t>
  </si>
  <si>
    <t>Designation</t>
  </si>
  <si>
    <t>Number</t>
  </si>
  <si>
    <t>Rate</t>
  </si>
  <si>
    <t>Salary</t>
  </si>
  <si>
    <t>No.</t>
  </si>
  <si>
    <t>A.</t>
  </si>
  <si>
    <t xml:space="preserve">  ADMINISTRATION :</t>
  </si>
  <si>
    <t>Manager</t>
  </si>
  <si>
    <t>B.</t>
  </si>
  <si>
    <t xml:space="preserve">  PRODUCTION :</t>
  </si>
  <si>
    <t>Guard</t>
  </si>
  <si>
    <t xml:space="preserve">  Total</t>
  </si>
  <si>
    <t>YEAR</t>
  </si>
  <si>
    <t>YEAR-1</t>
  </si>
  <si>
    <t>YEAR-2</t>
  </si>
  <si>
    <t>YEAR-3</t>
  </si>
  <si>
    <t>YEAR-4</t>
  </si>
  <si>
    <t>YEAR-5</t>
  </si>
  <si>
    <t>YEAR-6</t>
  </si>
  <si>
    <t>YEAR-7</t>
  </si>
  <si>
    <t>(Rs./Year)</t>
  </si>
  <si>
    <t>Supervisor</t>
  </si>
  <si>
    <t>Staff</t>
  </si>
  <si>
    <t xml:space="preserve"> ANNEXURE NO.2</t>
  </si>
  <si>
    <t xml:space="preserve"> BREAK-EVEN ANALYSIS</t>
  </si>
  <si>
    <t>Years</t>
  </si>
  <si>
    <t>A.  Receipts</t>
  </si>
  <si>
    <r>
      <t xml:space="preserve">B.  </t>
    </r>
    <r>
      <rPr>
        <b/>
        <sz val="11"/>
        <rFont val="Times New Roman"/>
        <family val="1"/>
      </rPr>
      <t>Variable cost</t>
    </r>
    <r>
      <rPr>
        <sz val="11"/>
        <rFont val="Times New Roman"/>
        <family val="1"/>
      </rPr>
      <t>:</t>
    </r>
  </si>
  <si>
    <t xml:space="preserve">     Administration Expenses</t>
  </si>
  <si>
    <t>F.  P.V.Ratio [ E/B x 100 ]</t>
  </si>
  <si>
    <t>G.  Break - even [ Value ]</t>
  </si>
  <si>
    <t xml:space="preserve">      [ D / F x 100 ]</t>
  </si>
  <si>
    <t>H.  Cash Break Even</t>
  </si>
  <si>
    <t xml:space="preserve">     [ Without Depreciation]</t>
  </si>
  <si>
    <t xml:space="preserve">     Interest on Loan</t>
  </si>
  <si>
    <r>
      <t xml:space="preserve">C.  </t>
    </r>
    <r>
      <rPr>
        <b/>
        <sz val="11"/>
        <rFont val="Times New Roman"/>
        <family val="1"/>
      </rPr>
      <t>Fixed costs:</t>
    </r>
  </si>
  <si>
    <t>D.  Contribution [ A- B ]</t>
  </si>
  <si>
    <t>PROFIT</t>
  </si>
  <si>
    <t>Rs. 70600.00</t>
  </si>
  <si>
    <t>Rs. 251500.00</t>
  </si>
  <si>
    <t xml:space="preserve">    Loan from Bank</t>
  </si>
  <si>
    <t>SALES</t>
  </si>
  <si>
    <t>Year</t>
  </si>
  <si>
    <t>Current Asste</t>
  </si>
  <si>
    <t>Current Liability</t>
  </si>
  <si>
    <t>Sum of Current Asste</t>
  </si>
  <si>
    <t>Sum of Current Liability</t>
  </si>
  <si>
    <t>Row Labels</t>
  </si>
  <si>
    <t>Grand Total</t>
  </si>
  <si>
    <t>Salary Statement</t>
  </si>
  <si>
    <t>PROFIT PIVOT CHART</t>
  </si>
  <si>
    <t>SALES PIVOT CHART</t>
  </si>
  <si>
    <t>SALARY STETEMENT</t>
  </si>
  <si>
    <t xml:space="preserve"> ANNEXURE NO.</t>
  </si>
  <si>
    <t>PROJECT FEASIBILITY REPORT</t>
  </si>
  <si>
    <t>Current Ratio</t>
  </si>
  <si>
    <t>Quick Ratio</t>
  </si>
  <si>
    <t>Net Profit Sales Percentage</t>
  </si>
  <si>
    <t>Fixed Assets Coverage Ratio</t>
  </si>
  <si>
    <t>Return on capital Employed</t>
  </si>
  <si>
    <t>A. Lequid Assets</t>
  </si>
  <si>
    <t>B. Current Liabilities</t>
  </si>
  <si>
    <t>C   TOL/TNW</t>
  </si>
  <si>
    <t>C   D/E Ratio</t>
  </si>
  <si>
    <t>A. Net Fixed Assets</t>
  </si>
  <si>
    <t>Fixed Assets</t>
  </si>
  <si>
    <t>FIXED ASSETS COVERAGE RATIO :</t>
  </si>
  <si>
    <t>B. Long Term/Medium Term Loans</t>
  </si>
  <si>
    <t>C   FACR</t>
  </si>
  <si>
    <t>C   Quick Ratio</t>
  </si>
  <si>
    <t>QUICK RATIO :</t>
  </si>
  <si>
    <t xml:space="preserve">      Tax</t>
  </si>
  <si>
    <t>RETURN ON CAPITAL EMPLOYED :</t>
  </si>
  <si>
    <t>A.   EBIT :</t>
  </si>
  <si>
    <t>B.  CAPITAL EMPLOYED :</t>
  </si>
  <si>
    <t xml:space="preserve">      Total Assets</t>
  </si>
  <si>
    <t xml:space="preserve">      Less : Current Liabilities</t>
  </si>
  <si>
    <t xml:space="preserve">      ROCE        [ A / B ]</t>
  </si>
  <si>
    <t>C   Return on Capital Employed</t>
  </si>
  <si>
    <t>QUICK RATIO</t>
  </si>
  <si>
    <t>FEASIBILITY REPORT</t>
  </si>
  <si>
    <t>CURRENT ASSETS CHART</t>
  </si>
  <si>
    <t>RETURN ON CAPITAL EMPLOYED</t>
  </si>
  <si>
    <t>DEBT SERVICE COVERAGE RATIO</t>
  </si>
  <si>
    <t>FIXED ASSET COVERAGE RATIO</t>
  </si>
  <si>
    <t>LOAN INSTALLMENT STATEMENT</t>
  </si>
  <si>
    <t>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</si>
</sst>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22" x14ac:knownFonts="1">
    <font>
      <sz val="10"/>
      <name val="Arial"/>
    </font>
    <font>
      <sz val="10"/>
      <name val="Arial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u/>
      <sz val="11"/>
      <name val="Times New Roman"/>
      <family val="1"/>
    </font>
    <font>
      <b/>
      <u/>
      <sz val="11"/>
      <name val="Times New Roman"/>
      <family val="1"/>
    </font>
    <font>
      <sz val="10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0"/>
      <name val="Book Antiqua"/>
      <family val="1"/>
    </font>
    <font>
      <b/>
      <sz val="10"/>
      <name val="Book Antiqua"/>
      <family val="1"/>
    </font>
    <font>
      <sz val="11"/>
      <name val="Book Antiqua"/>
      <family val="1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164" fontId="15" fillId="0" borderId="0" applyFont="0" applyFill="0" applyBorder="0" applyAlignment="0" applyProtection="0"/>
    <xf numFmtId="0" fontId="20" fillId="3" borderId="0" applyNumberFormat="0" applyBorder="0" applyAlignment="0" applyProtection="0"/>
  </cellStyleXfs>
  <cellXfs count="236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1" applyFont="1" applyAlignment="1">
      <alignment horizontal="center"/>
    </xf>
    <xf numFmtId="164" fontId="3" fillId="0" borderId="0" xfId="1" applyFont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0" xfId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4" fontId="3" fillId="0" borderId="6" xfId="1" applyFont="1" applyBorder="1" applyAlignment="1">
      <alignment horizontal="right"/>
    </xf>
    <xf numFmtId="0" fontId="3" fillId="0" borderId="10" xfId="0" applyFont="1" applyBorder="1" applyAlignment="1">
      <alignment horizontal="center"/>
    </xf>
    <xf numFmtId="164" fontId="3" fillId="0" borderId="11" xfId="1" applyFont="1" applyBorder="1" applyAlignment="1">
      <alignment horizontal="center"/>
    </xf>
    <xf numFmtId="164" fontId="3" fillId="0" borderId="10" xfId="1" applyFont="1" applyBorder="1" applyAlignment="1">
      <alignment horizontal="right"/>
    </xf>
    <xf numFmtId="164" fontId="3" fillId="0" borderId="11" xfId="0" applyNumberFormat="1" applyFont="1" applyBorder="1" applyAlignment="1">
      <alignment horizontal="center"/>
    </xf>
    <xf numFmtId="164" fontId="3" fillId="0" borderId="6" xfId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3" fillId="0" borderId="0" xfId="0" applyFont="1" applyAlignment="1">
      <alignment horizontal="right"/>
    </xf>
    <xf numFmtId="0" fontId="3" fillId="0" borderId="0" xfId="0" applyFont="1" applyBorder="1"/>
    <xf numFmtId="0" fontId="3" fillId="0" borderId="5" xfId="0" applyFont="1" applyBorder="1"/>
    <xf numFmtId="164" fontId="3" fillId="0" borderId="0" xfId="0" applyNumberFormat="1" applyFont="1" applyBorder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9" xfId="0" applyFont="1" applyBorder="1"/>
    <xf numFmtId="164" fontId="3" fillId="0" borderId="3" xfId="1" applyFont="1" applyBorder="1"/>
    <xf numFmtId="164" fontId="3" fillId="0" borderId="0" xfId="1" applyFont="1" applyBorder="1"/>
    <xf numFmtId="164" fontId="3" fillId="0" borderId="12" xfId="1" applyFont="1" applyBorder="1" applyAlignment="1">
      <alignment horizontal="center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2" xfId="1" applyFont="1" applyBorder="1"/>
    <xf numFmtId="164" fontId="3" fillId="0" borderId="6" xfId="1" applyFont="1" applyBorder="1"/>
    <xf numFmtId="164" fontId="3" fillId="0" borderId="8" xfId="1" applyFont="1" applyBorder="1"/>
    <xf numFmtId="0" fontId="3" fillId="0" borderId="10" xfId="0" applyFont="1" applyBorder="1"/>
    <xf numFmtId="164" fontId="3" fillId="0" borderId="1" xfId="1" applyFont="1" applyBorder="1"/>
    <xf numFmtId="164" fontId="3" fillId="0" borderId="5" xfId="1" applyFont="1" applyBorder="1"/>
    <xf numFmtId="164" fontId="3" fillId="0" borderId="7" xfId="1" applyFont="1" applyBorder="1"/>
    <xf numFmtId="0" fontId="3" fillId="0" borderId="2" xfId="0" applyFont="1" applyBorder="1"/>
    <xf numFmtId="0" fontId="3" fillId="0" borderId="6" xfId="0" applyFont="1" applyBorder="1"/>
    <xf numFmtId="164" fontId="3" fillId="0" borderId="5" xfId="1" applyFont="1" applyBorder="1" applyAlignment="1">
      <alignment horizontal="center"/>
    </xf>
    <xf numFmtId="164" fontId="3" fillId="0" borderId="10" xfId="1" applyFont="1" applyBorder="1"/>
    <xf numFmtId="2" fontId="3" fillId="0" borderId="12" xfId="0" applyNumberFormat="1" applyFont="1" applyBorder="1"/>
    <xf numFmtId="2" fontId="3" fillId="0" borderId="0" xfId="0" applyNumberFormat="1" applyFont="1" applyBorder="1"/>
    <xf numFmtId="164" fontId="3" fillId="0" borderId="8" xfId="1" applyFont="1" applyBorder="1" applyAlignment="1">
      <alignment horizontal="center"/>
    </xf>
    <xf numFmtId="164" fontId="2" fillId="0" borderId="0" xfId="1" applyFont="1"/>
    <xf numFmtId="164" fontId="3" fillId="0" borderId="0" xfId="1" applyFont="1"/>
    <xf numFmtId="164" fontId="6" fillId="0" borderId="0" xfId="1" applyFont="1"/>
    <xf numFmtId="37" fontId="3" fillId="0" borderId="0" xfId="1" applyNumberFormat="1" applyFont="1"/>
    <xf numFmtId="164" fontId="2" fillId="0" borderId="5" xfId="1" applyFont="1" applyBorder="1"/>
    <xf numFmtId="164" fontId="3" fillId="0" borderId="11" xfId="1" applyFont="1" applyBorder="1"/>
    <xf numFmtId="164" fontId="2" fillId="0" borderId="6" xfId="1" applyFont="1" applyBorder="1"/>
    <xf numFmtId="9" fontId="3" fillId="0" borderId="0" xfId="0" applyNumberFormat="1" applyFont="1"/>
    <xf numFmtId="164" fontId="3" fillId="0" borderId="9" xfId="1" applyFont="1" applyBorder="1" applyAlignment="1">
      <alignment horizontal="right"/>
    </xf>
    <xf numFmtId="164" fontId="3" fillId="0" borderId="5" xfId="1" applyFont="1" applyBorder="1" applyAlignment="1">
      <alignment horizontal="right"/>
    </xf>
    <xf numFmtId="164" fontId="3" fillId="0" borderId="6" xfId="1" applyFont="1" applyBorder="1" applyAlignment="1"/>
    <xf numFmtId="39" fontId="2" fillId="0" borderId="0" xfId="1" applyNumberFormat="1" applyFont="1" applyAlignment="1">
      <alignment horizontal="right"/>
    </xf>
    <xf numFmtId="0" fontId="2" fillId="0" borderId="0" xfId="0" applyFont="1" applyBorder="1"/>
    <xf numFmtId="0" fontId="3" fillId="0" borderId="0" xfId="0" applyFont="1" applyBorder="1" applyAlignment="1">
      <alignment horizontal="right"/>
    </xf>
    <xf numFmtId="0" fontId="2" fillId="0" borderId="11" xfId="0" applyFont="1" applyBorder="1" applyAlignment="1">
      <alignment horizontal="center"/>
    </xf>
    <xf numFmtId="43" fontId="3" fillId="0" borderId="0" xfId="0" applyNumberFormat="1" applyFont="1" applyBorder="1"/>
    <xf numFmtId="43" fontId="3" fillId="0" borderId="6" xfId="0" applyNumberFormat="1" applyFont="1" applyBorder="1"/>
    <xf numFmtId="164" fontId="2" fillId="0" borderId="0" xfId="0" applyNumberFormat="1" applyFont="1" applyBorder="1" applyAlignment="1">
      <alignment horizontal="center"/>
    </xf>
    <xf numFmtId="43" fontId="3" fillId="0" borderId="12" xfId="0" applyNumberFormat="1" applyFont="1" applyBorder="1"/>
    <xf numFmtId="164" fontId="3" fillId="0" borderId="0" xfId="0" quotePrefix="1" applyNumberFormat="1" applyFont="1" applyAlignment="1"/>
    <xf numFmtId="164" fontId="2" fillId="0" borderId="0" xfId="1" applyFont="1" applyAlignment="1">
      <alignment horizontal="center"/>
    </xf>
    <xf numFmtId="47" fontId="3" fillId="0" borderId="0" xfId="0" applyNumberFormat="1" applyFont="1"/>
    <xf numFmtId="165" fontId="2" fillId="0" borderId="0" xfId="1" applyNumberFormat="1" applyFont="1" applyAlignment="1">
      <alignment horizontal="right"/>
    </xf>
    <xf numFmtId="164" fontId="3" fillId="0" borderId="0" xfId="0" applyNumberFormat="1" applyFont="1" applyAlignment="1">
      <alignment horizontal="left"/>
    </xf>
    <xf numFmtId="1" fontId="3" fillId="0" borderId="0" xfId="0" applyNumberFormat="1" applyFont="1"/>
    <xf numFmtId="0" fontId="2" fillId="0" borderId="4" xfId="0" applyFont="1" applyBorder="1" applyAlignment="1">
      <alignment horizontal="left"/>
    </xf>
    <xf numFmtId="1" fontId="3" fillId="0" borderId="4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64" fontId="2" fillId="0" borderId="0" xfId="0" applyNumberFormat="1" applyFont="1"/>
    <xf numFmtId="47" fontId="3" fillId="0" borderId="0" xfId="0" applyNumberFormat="1" applyFont="1" applyBorder="1"/>
    <xf numFmtId="0" fontId="3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Border="1"/>
    <xf numFmtId="0" fontId="10" fillId="0" borderId="0" xfId="0" applyFont="1" applyBorder="1" applyAlignment="1">
      <alignment horizontal="left"/>
    </xf>
    <xf numFmtId="0" fontId="12" fillId="0" borderId="0" xfId="0" applyFont="1" applyBorder="1"/>
    <xf numFmtId="0" fontId="8" fillId="0" borderId="0" xfId="0" applyFont="1" applyBorder="1" applyAlignment="1">
      <alignment horizontal="left"/>
    </xf>
    <xf numFmtId="0" fontId="11" fillId="0" borderId="0" xfId="0" applyFont="1" applyBorder="1"/>
    <xf numFmtId="0" fontId="9" fillId="0" borderId="0" xfId="0" applyFont="1" applyBorder="1"/>
    <xf numFmtId="164" fontId="3" fillId="0" borderId="6" xfId="1" applyFont="1" applyBorder="1" applyAlignment="1">
      <alignment horizontal="left" indent="2"/>
    </xf>
    <xf numFmtId="164" fontId="2" fillId="0" borderId="0" xfId="1" applyFont="1" applyAlignment="1">
      <alignment horizontal="left"/>
    </xf>
    <xf numFmtId="164" fontId="6" fillId="0" borderId="0" xfId="1" applyFont="1" applyAlignment="1">
      <alignment horizontal="left"/>
    </xf>
    <xf numFmtId="0" fontId="3" fillId="0" borderId="0" xfId="0" applyFont="1" applyBorder="1" applyAlignment="1">
      <alignment horizontal="center"/>
    </xf>
    <xf numFmtId="0" fontId="2" fillId="0" borderId="5" xfId="0" applyFont="1" applyBorder="1" applyAlignment="1">
      <alignment horizontal="left" indent="1"/>
    </xf>
    <xf numFmtId="43" fontId="3" fillId="0" borderId="0" xfId="0" applyNumberFormat="1" applyFont="1"/>
    <xf numFmtId="0" fontId="2" fillId="0" borderId="6" xfId="0" applyFont="1" applyBorder="1"/>
    <xf numFmtId="164" fontId="2" fillId="0" borderId="0" xfId="1" applyFont="1" applyFill="1"/>
    <xf numFmtId="164" fontId="3" fillId="0" borderId="0" xfId="1" applyFont="1" applyFill="1"/>
    <xf numFmtId="164" fontId="6" fillId="0" borderId="0" xfId="1" applyFont="1" applyFill="1"/>
    <xf numFmtId="164" fontId="3" fillId="0" borderId="0" xfId="1" applyFont="1" applyFill="1" applyBorder="1"/>
    <xf numFmtId="37" fontId="3" fillId="0" borderId="0" xfId="1" applyNumberFormat="1" applyFont="1" applyFill="1"/>
    <xf numFmtId="164" fontId="2" fillId="0" borderId="6" xfId="1" applyFont="1" applyFill="1" applyBorder="1"/>
    <xf numFmtId="164" fontId="3" fillId="0" borderId="5" xfId="1" applyFont="1" applyFill="1" applyBorder="1"/>
    <xf numFmtId="164" fontId="3" fillId="0" borderId="6" xfId="1" applyFont="1" applyFill="1" applyBorder="1"/>
    <xf numFmtId="164" fontId="3" fillId="0" borderId="8" xfId="1" applyFont="1" applyFill="1" applyBorder="1"/>
    <xf numFmtId="164" fontId="3" fillId="0" borderId="5" xfId="1" applyFont="1" applyFill="1" applyBorder="1" applyAlignment="1">
      <alignment horizontal="center"/>
    </xf>
    <xf numFmtId="164" fontId="3" fillId="0" borderId="2" xfId="1" applyFont="1" applyFill="1" applyBorder="1"/>
    <xf numFmtId="164" fontId="3" fillId="0" borderId="6" xfId="1" applyFont="1" applyFill="1" applyBorder="1" applyAlignment="1">
      <alignment horizontal="center"/>
    </xf>
    <xf numFmtId="164" fontId="3" fillId="0" borderId="10" xfId="1" applyFont="1" applyFill="1" applyBorder="1"/>
    <xf numFmtId="164" fontId="3" fillId="0" borderId="1" xfId="1" applyFont="1" applyFill="1" applyBorder="1"/>
    <xf numFmtId="164" fontId="3" fillId="0" borderId="9" xfId="1" applyFont="1" applyFill="1" applyBorder="1"/>
    <xf numFmtId="164" fontId="3" fillId="0" borderId="11" xfId="1" applyFont="1" applyFill="1" applyBorder="1"/>
    <xf numFmtId="164" fontId="3" fillId="0" borderId="7" xfId="1" applyFont="1" applyFill="1" applyBorder="1"/>
    <xf numFmtId="37" fontId="3" fillId="0" borderId="0" xfId="1" applyNumberFormat="1" applyFont="1" applyFill="1" applyAlignment="1">
      <alignment horizontal="center"/>
    </xf>
    <xf numFmtId="2" fontId="3" fillId="0" borderId="0" xfId="0" applyNumberFormat="1" applyFont="1" applyBorder="1" applyAlignment="1">
      <alignment horizontal="right"/>
    </xf>
    <xf numFmtId="164" fontId="2" fillId="0" borderId="10" xfId="1" applyFont="1" applyBorder="1"/>
    <xf numFmtId="0" fontId="3" fillId="0" borderId="0" xfId="0" applyFont="1" applyAlignment="1">
      <alignment horizontal="left"/>
    </xf>
    <xf numFmtId="0" fontId="8" fillId="0" borderId="0" xfId="0" applyFont="1" applyAlignment="1"/>
    <xf numFmtId="164" fontId="3" fillId="0" borderId="10" xfId="1" applyFont="1" applyBorder="1" applyAlignment="1">
      <alignment horizontal="center"/>
    </xf>
    <xf numFmtId="0" fontId="2" fillId="0" borderId="5" xfId="0" applyFont="1" applyBorder="1"/>
    <xf numFmtId="0" fontId="2" fillId="0" borderId="0" xfId="0" applyFont="1" applyBorder="1" applyAlignment="1">
      <alignment horizontal="center"/>
    </xf>
    <xf numFmtId="10" fontId="2" fillId="0" borderId="0" xfId="2" applyNumberFormat="1" applyFont="1" applyAlignment="1">
      <alignment horizontal="center"/>
    </xf>
    <xf numFmtId="164" fontId="2" fillId="0" borderId="0" xfId="0" applyNumberFormat="1" applyFont="1" applyAlignment="1">
      <alignment horizontal="left"/>
    </xf>
    <xf numFmtId="164" fontId="3" fillId="0" borderId="7" xfId="1" applyFont="1" applyBorder="1" applyAlignment="1">
      <alignment horizontal="center"/>
    </xf>
    <xf numFmtId="0" fontId="14" fillId="0" borderId="0" xfId="0" applyFont="1"/>
    <xf numFmtId="0" fontId="14" fillId="0" borderId="12" xfId="0" applyFont="1" applyBorder="1" applyAlignment="1">
      <alignment horizontal="center"/>
    </xf>
    <xf numFmtId="0" fontId="14" fillId="0" borderId="12" xfId="0" applyFont="1" applyBorder="1"/>
    <xf numFmtId="0" fontId="16" fillId="0" borderId="12" xfId="0" applyFont="1" applyBorder="1"/>
    <xf numFmtId="0" fontId="14" fillId="0" borderId="12" xfId="0" applyFont="1" applyBorder="1" applyAlignment="1"/>
    <xf numFmtId="0" fontId="16" fillId="0" borderId="12" xfId="0" applyFont="1" applyBorder="1" applyAlignment="1">
      <alignment horizontal="center"/>
    </xf>
    <xf numFmtId="4" fontId="14" fillId="0" borderId="12" xfId="0" applyNumberFormat="1" applyFont="1" applyBorder="1" applyAlignment="1">
      <alignment horizontal="center"/>
    </xf>
    <xf numFmtId="4" fontId="16" fillId="0" borderId="12" xfId="0" applyNumberFormat="1" applyFont="1" applyBorder="1" applyAlignment="1">
      <alignment horizontal="center"/>
    </xf>
    <xf numFmtId="0" fontId="14" fillId="0" borderId="0" xfId="0" applyFont="1" applyBorder="1"/>
    <xf numFmtId="0" fontId="2" fillId="0" borderId="0" xfId="3" applyFont="1"/>
    <xf numFmtId="0" fontId="3" fillId="0" borderId="0" xfId="3" applyFont="1"/>
    <xf numFmtId="0" fontId="3" fillId="0" borderId="0" xfId="3" applyFont="1" applyBorder="1"/>
    <xf numFmtId="0" fontId="3" fillId="0" borderId="5" xfId="3" applyFont="1" applyBorder="1"/>
    <xf numFmtId="164" fontId="3" fillId="0" borderId="5" xfId="4" applyFont="1" applyBorder="1"/>
    <xf numFmtId="0" fontId="3" fillId="0" borderId="6" xfId="3" applyFont="1" applyBorder="1"/>
    <xf numFmtId="0" fontId="3" fillId="0" borderId="8" xfId="3" applyFont="1" applyBorder="1"/>
    <xf numFmtId="0" fontId="3" fillId="0" borderId="1" xfId="3" applyFont="1" applyBorder="1"/>
    <xf numFmtId="0" fontId="3" fillId="0" borderId="2" xfId="3" applyFont="1" applyBorder="1"/>
    <xf numFmtId="0" fontId="3" fillId="0" borderId="4" xfId="3" applyFont="1" applyBorder="1"/>
    <xf numFmtId="164" fontId="3" fillId="0" borderId="5" xfId="4" applyFont="1" applyBorder="1" applyAlignment="1">
      <alignment horizontal="center"/>
    </xf>
    <xf numFmtId="164" fontId="3" fillId="0" borderId="6" xfId="4" applyFont="1" applyBorder="1" applyAlignment="1">
      <alignment horizontal="center"/>
    </xf>
    <xf numFmtId="2" fontId="3" fillId="0" borderId="6" xfId="3" applyNumberFormat="1" applyFont="1" applyBorder="1"/>
    <xf numFmtId="2" fontId="3" fillId="0" borderId="0" xfId="3" applyNumberFormat="1" applyFont="1" applyBorder="1"/>
    <xf numFmtId="2" fontId="3" fillId="0" borderId="8" xfId="3" applyNumberFormat="1" applyFont="1" applyBorder="1"/>
    <xf numFmtId="0" fontId="3" fillId="0" borderId="9" xfId="3" applyFont="1" applyBorder="1"/>
    <xf numFmtId="0" fontId="3" fillId="0" borderId="10" xfId="3" applyFont="1" applyBorder="1"/>
    <xf numFmtId="0" fontId="3" fillId="0" borderId="11" xfId="3" applyFont="1" applyBorder="1"/>
    <xf numFmtId="0" fontId="3" fillId="0" borderId="7" xfId="3" applyFont="1" applyBorder="1"/>
    <xf numFmtId="164" fontId="3" fillId="0" borderId="6" xfId="4" applyFont="1" applyBorder="1"/>
    <xf numFmtId="0" fontId="16" fillId="0" borderId="0" xfId="0" applyFont="1"/>
    <xf numFmtId="0" fontId="19" fillId="0" borderId="0" xfId="0" applyFont="1"/>
    <xf numFmtId="0" fontId="2" fillId="0" borderId="2" xfId="0" applyFont="1" applyBorder="1"/>
    <xf numFmtId="0" fontId="19" fillId="0" borderId="8" xfId="0" applyFont="1" applyBorder="1"/>
    <xf numFmtId="164" fontId="19" fillId="0" borderId="8" xfId="1" applyFont="1" applyBorder="1" applyAlignment="1">
      <alignment horizontal="center"/>
    </xf>
    <xf numFmtId="0" fontId="19" fillId="0" borderId="7" xfId="0" applyFont="1" applyBorder="1"/>
    <xf numFmtId="0" fontId="19" fillId="0" borderId="6" xfId="0" applyFont="1" applyBorder="1"/>
    <xf numFmtId="0" fontId="19" fillId="0" borderId="10" xfId="0" applyFont="1" applyBorder="1"/>
    <xf numFmtId="164" fontId="19" fillId="0" borderId="6" xfId="1" applyFont="1" applyBorder="1" applyAlignment="1">
      <alignment horizontal="center"/>
    </xf>
    <xf numFmtId="0" fontId="15" fillId="2" borderId="0" xfId="0" applyFont="1" applyFill="1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18" fillId="2" borderId="14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17" fillId="2" borderId="6" xfId="0" applyFont="1" applyFill="1" applyBorder="1"/>
    <xf numFmtId="0" fontId="17" fillId="2" borderId="9" xfId="0" applyFont="1" applyFill="1" applyBorder="1" applyAlignment="1">
      <alignment horizontal="center"/>
    </xf>
    <xf numFmtId="0" fontId="17" fillId="2" borderId="10" xfId="0" applyFont="1" applyFill="1" applyBorder="1"/>
    <xf numFmtId="0" fontId="17" fillId="2" borderId="0" xfId="0" applyFont="1" applyFill="1"/>
    <xf numFmtId="0" fontId="1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/>
    </xf>
    <xf numFmtId="164" fontId="17" fillId="2" borderId="0" xfId="1" applyFont="1" applyFill="1"/>
    <xf numFmtId="0" fontId="17" fillId="2" borderId="12" xfId="0" applyFont="1" applyFill="1" applyBorder="1" applyAlignment="1">
      <alignment horizontal="center" vertical="center"/>
    </xf>
    <xf numFmtId="164" fontId="17" fillId="2" borderId="12" xfId="1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/>
    </xf>
    <xf numFmtId="164" fontId="17" fillId="2" borderId="6" xfId="1" applyFont="1" applyFill="1" applyBorder="1"/>
    <xf numFmtId="164" fontId="17" fillId="2" borderId="8" xfId="1" applyFont="1" applyFill="1" applyBorder="1"/>
    <xf numFmtId="0" fontId="17" fillId="2" borderId="10" xfId="0" applyFont="1" applyFill="1" applyBorder="1" applyAlignment="1">
      <alignment horizontal="center"/>
    </xf>
    <xf numFmtId="164" fontId="17" fillId="2" borderId="10" xfId="1" applyFont="1" applyFill="1" applyBorder="1"/>
    <xf numFmtId="164" fontId="17" fillId="2" borderId="7" xfId="1" applyFont="1" applyFill="1" applyBorder="1"/>
    <xf numFmtId="164" fontId="19" fillId="0" borderId="6" xfId="1" applyFont="1" applyBorder="1"/>
    <xf numFmtId="0" fontId="21" fillId="3" borderId="14" xfId="5" applyFont="1" applyBorder="1" applyAlignment="1">
      <alignment horizontal="center"/>
    </xf>
    <xf numFmtId="0" fontId="21" fillId="3" borderId="13" xfId="5" applyFont="1" applyBorder="1" applyAlignment="1">
      <alignment horizontal="center"/>
    </xf>
    <xf numFmtId="0" fontId="21" fillId="3" borderId="12" xfId="5" applyFont="1" applyBorder="1" applyAlignment="1">
      <alignment horizontal="center"/>
    </xf>
    <xf numFmtId="164" fontId="20" fillId="3" borderId="12" xfId="5" applyNumberFormat="1" applyBorder="1" applyAlignment="1">
      <alignment horizontal="right"/>
    </xf>
    <xf numFmtId="164" fontId="20" fillId="3" borderId="14" xfId="5" applyNumberFormat="1" applyBorder="1" applyAlignment="1">
      <alignment horizontal="right"/>
    </xf>
    <xf numFmtId="164" fontId="20" fillId="3" borderId="12" xfId="5" applyNumberFormat="1" applyBorder="1"/>
    <xf numFmtId="164" fontId="20" fillId="3" borderId="10" xfId="5" applyNumberFormat="1" applyBorder="1"/>
    <xf numFmtId="164" fontId="20" fillId="3" borderId="13" xfId="5" applyNumberFormat="1" applyBorder="1"/>
    <xf numFmtId="164" fontId="20" fillId="3" borderId="15" xfId="5" applyNumberFormat="1" applyBorder="1"/>
    <xf numFmtId="164" fontId="20" fillId="3" borderId="14" xfId="5" applyNumberFormat="1" applyBorder="1"/>
    <xf numFmtId="164" fontId="20" fillId="3" borderId="16" xfId="5" applyNumberFormat="1" applyBorder="1" applyAlignment="1">
      <alignment horizontal="center"/>
    </xf>
    <xf numFmtId="164" fontId="20" fillId="3" borderId="12" xfId="5" applyNumberFormat="1" applyBorder="1" applyAlignment="1">
      <alignment horizontal="center"/>
    </xf>
    <xf numFmtId="2" fontId="20" fillId="3" borderId="12" xfId="5" applyNumberFormat="1" applyBorder="1"/>
    <xf numFmtId="164" fontId="20" fillId="3" borderId="1" xfId="5" applyNumberFormat="1" applyBorder="1"/>
    <xf numFmtId="164" fontId="20" fillId="3" borderId="2" xfId="5" applyNumberFormat="1" applyBorder="1"/>
    <xf numFmtId="0" fontId="21" fillId="3" borderId="7" xfId="5" applyFont="1" applyBorder="1" applyAlignment="1">
      <alignment horizontal="center"/>
    </xf>
    <xf numFmtId="0" fontId="21" fillId="3" borderId="12" xfId="5" applyFont="1" applyBorder="1" applyAlignment="1">
      <alignment horizontal="center" vertical="center"/>
    </xf>
    <xf numFmtId="37" fontId="21" fillId="3" borderId="12" xfId="5" applyNumberFormat="1" applyFont="1" applyBorder="1" applyAlignment="1">
      <alignment horizontal="center" vertical="center"/>
    </xf>
    <xf numFmtId="37" fontId="21" fillId="3" borderId="12" xfId="5" applyNumberFormat="1" applyFont="1" applyBorder="1" applyAlignment="1">
      <alignment horizontal="center"/>
    </xf>
    <xf numFmtId="37" fontId="21" fillId="3" borderId="9" xfId="5" applyNumberFormat="1" applyFont="1" applyBorder="1" applyAlignment="1">
      <alignment horizontal="center"/>
    </xf>
    <xf numFmtId="37" fontId="21" fillId="3" borderId="10" xfId="5" applyNumberFormat="1" applyFont="1" applyBorder="1" applyAlignment="1">
      <alignment horizontal="center"/>
    </xf>
    <xf numFmtId="37" fontId="21" fillId="3" borderId="11" xfId="5" applyNumberFormat="1" applyFont="1" applyBorder="1" applyAlignment="1">
      <alignment horizontal="center"/>
    </xf>
    <xf numFmtId="37" fontId="21" fillId="3" borderId="7" xfId="5" applyNumberFormat="1" applyFont="1" applyBorder="1" applyAlignment="1">
      <alignment horizontal="center"/>
    </xf>
    <xf numFmtId="0" fontId="21" fillId="3" borderId="10" xfId="5" applyFont="1" applyBorder="1" applyAlignment="1">
      <alignment horizontal="center"/>
    </xf>
    <xf numFmtId="0" fontId="21" fillId="3" borderId="9" xfId="5" applyFont="1" applyBorder="1" applyAlignment="1">
      <alignment horizontal="center"/>
    </xf>
    <xf numFmtId="0" fontId="21" fillId="3" borderId="11" xfId="5" applyFont="1" applyBorder="1" applyAlignment="1">
      <alignment horizontal="center"/>
    </xf>
    <xf numFmtId="0" fontId="13" fillId="0" borderId="0" xfId="0" applyFont="1" applyBorder="1" applyAlignment="1">
      <alignment horizontal="left"/>
    </xf>
    <xf numFmtId="0" fontId="13" fillId="0" borderId="0" xfId="0" applyFont="1" applyBorder="1" applyAlignment="1">
      <alignment horizontal="left" wrapText="1"/>
    </xf>
    <xf numFmtId="0" fontId="13" fillId="0" borderId="0" xfId="0" applyFont="1" applyBorder="1" applyAlignment="1">
      <alignment wrapText="1"/>
    </xf>
    <xf numFmtId="0" fontId="21" fillId="3" borderId="2" xfId="5" applyFont="1" applyBorder="1" applyAlignment="1">
      <alignment horizontal="center" vertical="center"/>
    </xf>
    <xf numFmtId="0" fontId="21" fillId="3" borderId="10" xfId="5" applyFont="1" applyBorder="1" applyAlignment="1">
      <alignment horizontal="center" vertical="center"/>
    </xf>
    <xf numFmtId="1" fontId="21" fillId="3" borderId="2" xfId="5" applyNumberFormat="1" applyFont="1" applyBorder="1" applyAlignment="1">
      <alignment horizontal="center" vertical="center"/>
    </xf>
    <xf numFmtId="1" fontId="21" fillId="3" borderId="10" xfId="5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1" fillId="3" borderId="2" xfId="5" applyFont="1" applyBorder="1" applyAlignment="1">
      <alignment horizontal="left" vertical="center"/>
    </xf>
    <xf numFmtId="0" fontId="21" fillId="3" borderId="10" xfId="5" applyFont="1" applyBorder="1" applyAlignment="1">
      <alignment horizontal="left" vertical="center"/>
    </xf>
    <xf numFmtId="0" fontId="21" fillId="3" borderId="13" xfId="5" applyFont="1" applyBorder="1" applyAlignment="1">
      <alignment horizontal="center"/>
    </xf>
    <xf numFmtId="0" fontId="21" fillId="3" borderId="15" xfId="5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1" fillId="3" borderId="1" xfId="5" applyFont="1" applyBorder="1" applyAlignment="1">
      <alignment horizontal="center" vertical="center"/>
    </xf>
    <xf numFmtId="0" fontId="21" fillId="3" borderId="14" xfId="5" applyFont="1" applyBorder="1" applyAlignment="1">
      <alignment horizontal="center"/>
    </xf>
    <xf numFmtId="37" fontId="21" fillId="3" borderId="1" xfId="5" applyNumberFormat="1" applyFont="1" applyBorder="1" applyAlignment="1">
      <alignment horizontal="center" vertical="center"/>
    </xf>
    <xf numFmtId="37" fontId="21" fillId="3" borderId="9" xfId="5" applyNumberFormat="1" applyFont="1" applyBorder="1" applyAlignment="1">
      <alignment horizontal="center" vertical="center"/>
    </xf>
    <xf numFmtId="164" fontId="21" fillId="3" borderId="14" xfId="5" applyNumberFormat="1" applyFont="1" applyBorder="1" applyAlignment="1">
      <alignment horizontal="center"/>
    </xf>
    <xf numFmtId="164" fontId="21" fillId="3" borderId="13" xfId="5" applyNumberFormat="1" applyFont="1" applyBorder="1" applyAlignment="1">
      <alignment horizontal="center"/>
    </xf>
    <xf numFmtId="164" fontId="21" fillId="3" borderId="15" xfId="5" applyNumberFormat="1" applyFont="1" applyBorder="1" applyAlignment="1">
      <alignment horizontal="center"/>
    </xf>
    <xf numFmtId="37" fontId="21" fillId="3" borderId="2" xfId="5" applyNumberFormat="1" applyFont="1" applyBorder="1" applyAlignment="1">
      <alignment horizontal="center" vertical="center"/>
    </xf>
    <xf numFmtId="37" fontId="21" fillId="3" borderId="10" xfId="5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6">
    <cellStyle name="Comma" xfId="1" builtinId="3"/>
    <cellStyle name="Comma 2" xfId="4"/>
    <cellStyle name="Good" xfId="5" builtinId="26"/>
    <cellStyle name="Normal" xfId="0" builtinId="0"/>
    <cellStyle name="Normal 2" xfId="3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Current Assets V/S Current Liabilities</a:t>
            </a:r>
          </a:p>
        </c:rich>
      </c:tx>
      <c:layout>
        <c:manualLayout>
          <c:xMode val="edge"/>
          <c:yMode val="edge"/>
          <c:x val="0.30538560339532028"/>
          <c:y val="9.46906430084669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2126472887697549"/>
          <c:y val="0.1007654208513192"/>
          <c:w val="0.66748794482085083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v>Sum of Current Asste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strLit>
          </c:cat>
          <c:val>
            <c:numLit>
              <c:formatCode>General</c:formatCode>
              <c:ptCount val="7"/>
              <c:pt idx="0">
                <c:v>5305079</c:v>
              </c:pt>
              <c:pt idx="1">
                <c:v>5930828</c:v>
              </c:pt>
              <c:pt idx="2">
                <c:v>7315707</c:v>
              </c:pt>
              <c:pt idx="3">
                <c:v>8888467</c:v>
              </c:pt>
              <c:pt idx="4">
                <c:v>10849061</c:v>
              </c:pt>
              <c:pt idx="5">
                <c:v>13279559</c:v>
              </c:pt>
              <c:pt idx="6">
                <c:v>14945229</c:v>
              </c:pt>
            </c:numLit>
          </c:val>
        </c:ser>
        <c:ser>
          <c:idx val="1"/>
          <c:order val="1"/>
          <c:tx>
            <c:v>Sum of Current Liability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strLit>
          </c:cat>
          <c:val>
            <c:numLit>
              <c:formatCode>General</c:formatCode>
              <c:ptCount val="7"/>
              <c:pt idx="0">
                <c:v>3388223</c:v>
              </c:pt>
              <c:pt idx="1">
                <c:v>3437460</c:v>
              </c:pt>
              <c:pt idx="2">
                <c:v>3492939</c:v>
              </c:pt>
              <c:pt idx="3">
                <c:v>3555458</c:v>
              </c:pt>
              <c:pt idx="4">
                <c:v>3625904</c:v>
              </c:pt>
              <c:pt idx="5">
                <c:v>3705283</c:v>
              </c:pt>
              <c:pt idx="6">
                <c:v>3794731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466598224"/>
        <c:axId val="-1466593328"/>
      </c:barChart>
      <c:catAx>
        <c:axId val="-146659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66593328"/>
        <c:crosses val="autoZero"/>
        <c:auto val="1"/>
        <c:lblAlgn val="ctr"/>
        <c:lblOffset val="100"/>
        <c:noMultiLvlLbl val="0"/>
      </c:catAx>
      <c:valAx>
        <c:axId val="-146659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665982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239878259898361"/>
          <c:y val="0.34170827820076211"/>
          <c:w val="0.13696291952867592"/>
          <c:h val="0.232432557500560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13648293963253"/>
          <c:y val="0.18283573928258967"/>
          <c:w val="0.83953018372703414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'Profit Chart'!$E$24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Chart'!$F$23</c:f>
              <c:strCache>
                <c:ptCount val="1"/>
                <c:pt idx="0">
                  <c:v>PROFIT</c:v>
                </c:pt>
              </c:strCache>
            </c:strRef>
          </c:cat>
          <c:val>
            <c:numRef>
              <c:f>'Profit Chart'!$F$24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'Profit Chart'!$E$25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Chart'!$F$23</c:f>
              <c:strCache>
                <c:ptCount val="1"/>
                <c:pt idx="0">
                  <c:v>PROFIT</c:v>
                </c:pt>
              </c:strCache>
            </c:strRef>
          </c:cat>
          <c:val>
            <c:numRef>
              <c:f>'Profit Chart'!$F$25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strRef>
              <c:f>'Profit Chart'!$E$26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Chart'!$F$23</c:f>
              <c:strCache>
                <c:ptCount val="1"/>
                <c:pt idx="0">
                  <c:v>PROFIT</c:v>
                </c:pt>
              </c:strCache>
            </c:strRef>
          </c:cat>
          <c:val>
            <c:numRef>
              <c:f>'Profit Chart'!$F$26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strRef>
              <c:f>'Profit Chart'!$E$27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Chart'!$F$23</c:f>
              <c:strCache>
                <c:ptCount val="1"/>
                <c:pt idx="0">
                  <c:v>PROFIT</c:v>
                </c:pt>
              </c:strCache>
            </c:strRef>
          </c:cat>
          <c:val>
            <c:numRef>
              <c:f>'Profit Chart'!$F$27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tx>
            <c:strRef>
              <c:f>'Profit Chart'!$E$28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Chart'!$F$23</c:f>
              <c:strCache>
                <c:ptCount val="1"/>
                <c:pt idx="0">
                  <c:v>PROFIT</c:v>
                </c:pt>
              </c:strCache>
            </c:strRef>
          </c:cat>
          <c:val>
            <c:numRef>
              <c:f>'Profit Chart'!$F$28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tx>
            <c:strRef>
              <c:f>'Profit Chart'!$E$29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Chart'!$F$23</c:f>
              <c:strCache>
                <c:ptCount val="1"/>
                <c:pt idx="0">
                  <c:v>PROFIT</c:v>
                </c:pt>
              </c:strCache>
            </c:strRef>
          </c:cat>
          <c:val>
            <c:numRef>
              <c:f>'Profit Chart'!$F$29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tx>
            <c:strRef>
              <c:f>'Profit Chart'!$E$30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Chart'!$F$23</c:f>
              <c:strCache>
                <c:ptCount val="1"/>
                <c:pt idx="0">
                  <c:v>PROFIT</c:v>
                </c:pt>
              </c:strCache>
            </c:strRef>
          </c:cat>
          <c:val>
            <c:numRef>
              <c:f>'Profit Chart'!$F$30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466594960"/>
        <c:axId val="-1466601488"/>
      </c:barChart>
      <c:catAx>
        <c:axId val="-146659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66601488"/>
        <c:crosses val="autoZero"/>
        <c:auto val="1"/>
        <c:lblAlgn val="ctr"/>
        <c:lblOffset val="100"/>
        <c:noMultiLvlLbl val="0"/>
      </c:catAx>
      <c:valAx>
        <c:axId val="-146660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6659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452875554086852"/>
          <c:y val="0.86620000604959435"/>
          <c:w val="0.75513915319195812"/>
          <c:h val="6.29375126828570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Sales </a:t>
            </a:r>
            <a:r>
              <a:rPr lang="en-IN"/>
              <a:t>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13648293963253"/>
          <c:y val="0.18283573928258967"/>
          <c:w val="0.83953018372703414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Chart'!$E$24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Chart'!$F$23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'Sales Chart'!$F$24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strRef>
              <c:f>'Sales Chart'!$E$25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Chart'!$F$23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'Sales Chart'!$F$25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strRef>
              <c:f>'Sales Chart'!$E$26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Chart'!$F$23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'Sales Chart'!$F$26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strRef>
              <c:f>'Sales Chart'!$E$27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Chart'!$F$23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'Sales Chart'!$F$27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tx>
            <c:strRef>
              <c:f>'Sales Chart'!$E$28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Chart'!$F$23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'Sales Chart'!$F$28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tx>
            <c:strRef>
              <c:f>'Sales Chart'!$E$29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Chart'!$F$23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'Sales Chart'!$F$29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tx>
            <c:strRef>
              <c:f>'Sales Chart'!$E$30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Chart'!$F$23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'Sales Chart'!$F$30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1466602576"/>
        <c:axId val="-1466599312"/>
      </c:barChart>
      <c:catAx>
        <c:axId val="-14666025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466599312"/>
        <c:crosses val="autoZero"/>
        <c:auto val="1"/>
        <c:lblAlgn val="ctr"/>
        <c:lblOffset val="100"/>
        <c:noMultiLvlLbl val="0"/>
      </c:catAx>
      <c:valAx>
        <c:axId val="-146659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6660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452875554086852"/>
          <c:y val="0.82144475472272172"/>
          <c:w val="0.77250528922669037"/>
          <c:h val="6.293751268285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8</xdr:col>
      <xdr:colOff>9525</xdr:colOff>
      <xdr:row>20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8</xdr:col>
      <xdr:colOff>628650</xdr:colOff>
      <xdr:row>21</xdr:row>
      <xdr:rowOff>14287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28575</xdr:rowOff>
    </xdr:from>
    <xdr:to>
      <xdr:col>8</xdr:col>
      <xdr:colOff>638175</xdr:colOff>
      <xdr:row>21</xdr:row>
      <xdr:rowOff>33337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0"/>
  <sheetViews>
    <sheetView zoomScaleNormal="100" workbookViewId="0">
      <selection activeCell="C19" sqref="C19"/>
    </sheetView>
  </sheetViews>
  <sheetFormatPr defaultColWidth="8.85546875" defaultRowHeight="12.75" x14ac:dyDescent="0.2"/>
  <cols>
    <col min="1" max="1" width="16.42578125" style="80" customWidth="1"/>
    <col min="2" max="6" width="12.140625" style="80" customWidth="1"/>
    <col min="7" max="7" width="16.42578125" style="80" customWidth="1"/>
    <col min="8" max="16384" width="8.85546875" style="80"/>
  </cols>
  <sheetData>
    <row r="1" spans="1:7" x14ac:dyDescent="0.2">
      <c r="A1" s="81"/>
      <c r="B1" s="81"/>
      <c r="C1" s="81"/>
      <c r="D1" s="81"/>
      <c r="E1" s="81"/>
      <c r="F1" s="81"/>
      <c r="G1" s="81"/>
    </row>
    <row r="2" spans="1:7" ht="13.5" x14ac:dyDescent="0.25">
      <c r="A2" s="86" t="s">
        <v>62</v>
      </c>
      <c r="B2" s="81"/>
      <c r="C2" s="81"/>
      <c r="D2" s="81"/>
      <c r="E2" s="81"/>
      <c r="F2" s="81"/>
      <c r="G2" s="81"/>
    </row>
    <row r="3" spans="1:7" x14ac:dyDescent="0.2">
      <c r="A3" s="81" t="s">
        <v>152</v>
      </c>
      <c r="B3" s="81"/>
      <c r="C3" s="81"/>
      <c r="D3" s="81"/>
      <c r="E3" s="81"/>
      <c r="F3" s="81"/>
      <c r="G3" s="81"/>
    </row>
    <row r="4" spans="1:7" x14ac:dyDescent="0.2">
      <c r="A4" s="81"/>
      <c r="B4" s="81"/>
      <c r="C4" s="81"/>
      <c r="D4" s="81"/>
      <c r="E4" s="81"/>
      <c r="F4" s="81"/>
      <c r="G4" s="81"/>
    </row>
    <row r="5" spans="1:7" x14ac:dyDescent="0.2">
      <c r="A5" s="81"/>
      <c r="B5" s="81"/>
      <c r="C5" s="81"/>
      <c r="D5" s="81"/>
      <c r="E5" s="81"/>
      <c r="F5" s="81"/>
      <c r="G5" s="81"/>
    </row>
    <row r="6" spans="1:7" x14ac:dyDescent="0.2">
      <c r="A6" s="81"/>
      <c r="B6" s="81"/>
      <c r="C6" s="81"/>
      <c r="D6" s="81"/>
      <c r="E6" s="81"/>
      <c r="F6" s="81"/>
      <c r="G6" s="81"/>
    </row>
    <row r="7" spans="1:7" x14ac:dyDescent="0.2">
      <c r="A7" s="81"/>
      <c r="B7" s="81"/>
      <c r="C7" s="81"/>
      <c r="D7" s="81"/>
      <c r="E7" s="81"/>
      <c r="F7" s="81"/>
      <c r="G7" s="81"/>
    </row>
    <row r="8" spans="1:7" x14ac:dyDescent="0.2">
      <c r="A8" s="81"/>
      <c r="B8" s="81"/>
      <c r="C8" s="82"/>
      <c r="D8" s="81"/>
      <c r="E8" s="81"/>
      <c r="F8" s="81"/>
      <c r="G8" s="81"/>
    </row>
    <row r="9" spans="1:7" x14ac:dyDescent="0.2">
      <c r="A9" s="81"/>
      <c r="B9" s="81"/>
      <c r="C9" s="81"/>
      <c r="D9" s="81"/>
      <c r="E9" s="81"/>
      <c r="F9" s="81"/>
      <c r="G9" s="81"/>
    </row>
    <row r="10" spans="1:7" x14ac:dyDescent="0.2">
      <c r="A10" s="85" t="s">
        <v>147</v>
      </c>
      <c r="B10" s="81"/>
      <c r="C10" s="83"/>
      <c r="D10" s="81"/>
      <c r="E10" s="81"/>
      <c r="F10" s="81"/>
      <c r="G10" s="81"/>
    </row>
    <row r="11" spans="1:7" x14ac:dyDescent="0.2">
      <c r="A11" s="81" t="s">
        <v>153</v>
      </c>
      <c r="B11" s="81"/>
      <c r="C11" s="81"/>
      <c r="D11" s="81"/>
      <c r="E11" s="81"/>
      <c r="F11" s="81"/>
      <c r="G11" s="81"/>
    </row>
    <row r="12" spans="1:7" x14ac:dyDescent="0.2">
      <c r="A12" s="81" t="s">
        <v>154</v>
      </c>
      <c r="B12" s="81"/>
      <c r="C12" s="81"/>
      <c r="D12" s="81"/>
      <c r="E12" s="81"/>
      <c r="F12" s="81"/>
      <c r="G12" s="81"/>
    </row>
    <row r="13" spans="1:7" x14ac:dyDescent="0.2">
      <c r="A13" s="81" t="s">
        <v>155</v>
      </c>
      <c r="B13" s="81"/>
      <c r="C13" s="83"/>
      <c r="D13" s="81"/>
      <c r="E13" s="81"/>
      <c r="F13" s="81"/>
      <c r="G13" s="81"/>
    </row>
    <row r="14" spans="1:7" x14ac:dyDescent="0.2">
      <c r="A14" s="81"/>
      <c r="B14" s="81"/>
      <c r="C14" s="83"/>
      <c r="D14" s="81"/>
      <c r="E14" s="81"/>
      <c r="F14" s="81"/>
      <c r="G14" s="81"/>
    </row>
    <row r="15" spans="1:7" x14ac:dyDescent="0.2">
      <c r="A15" s="81"/>
      <c r="B15" s="81"/>
      <c r="C15" s="81"/>
      <c r="D15" s="81"/>
      <c r="E15" s="81"/>
      <c r="F15" s="81"/>
      <c r="G15" s="81"/>
    </row>
    <row r="16" spans="1:7" x14ac:dyDescent="0.2">
      <c r="A16" s="84"/>
      <c r="B16" s="81"/>
      <c r="C16" s="81"/>
      <c r="D16" s="81"/>
      <c r="E16" s="81"/>
      <c r="F16" s="81"/>
      <c r="G16" s="81"/>
    </row>
    <row r="17" spans="1:7" x14ac:dyDescent="0.2">
      <c r="A17" s="81"/>
      <c r="B17" s="81"/>
      <c r="C17" s="81"/>
      <c r="D17" s="81"/>
      <c r="E17" s="81"/>
      <c r="F17" s="81"/>
      <c r="G17" s="81"/>
    </row>
    <row r="18" spans="1:7" x14ac:dyDescent="0.2">
      <c r="A18" s="84"/>
      <c r="B18" s="84"/>
      <c r="C18" s="81"/>
      <c r="D18" s="81"/>
      <c r="E18" s="81"/>
      <c r="F18" s="81"/>
      <c r="G18" s="81"/>
    </row>
    <row r="19" spans="1:7" x14ac:dyDescent="0.2">
      <c r="A19" s="81"/>
      <c r="B19" s="81"/>
      <c r="C19" s="81"/>
      <c r="D19" s="81"/>
      <c r="E19" s="81"/>
      <c r="F19" s="81"/>
      <c r="G19" s="81"/>
    </row>
    <row r="20" spans="1:7" x14ac:dyDescent="0.2">
      <c r="A20" s="85"/>
      <c r="B20" s="81"/>
      <c r="C20" s="81"/>
      <c r="D20" s="81"/>
      <c r="E20" s="81"/>
      <c r="F20" s="81"/>
      <c r="G20" s="81"/>
    </row>
    <row r="21" spans="1:7" ht="15.75" customHeight="1" x14ac:dyDescent="0.2">
      <c r="A21" s="81"/>
      <c r="B21" s="81"/>
      <c r="C21" s="81"/>
      <c r="D21" s="81"/>
      <c r="E21" s="81"/>
      <c r="F21" s="81"/>
      <c r="G21" s="81"/>
    </row>
    <row r="22" spans="1:7" s="115" customFormat="1" ht="42" customHeight="1" x14ac:dyDescent="0.2">
      <c r="A22" s="211" t="s">
        <v>157</v>
      </c>
      <c r="B22" s="211"/>
      <c r="C22" s="211"/>
      <c r="D22" s="211"/>
      <c r="E22" s="211"/>
      <c r="F22" s="211"/>
      <c r="G22" s="211"/>
    </row>
    <row r="23" spans="1:7" x14ac:dyDescent="0.2">
      <c r="A23" s="210" t="s">
        <v>156</v>
      </c>
      <c r="B23" s="210"/>
      <c r="C23" s="210"/>
      <c r="D23" s="210"/>
      <c r="E23" s="210"/>
      <c r="F23" s="210"/>
      <c r="G23" s="210"/>
    </row>
    <row r="24" spans="1:7" x14ac:dyDescent="0.2">
      <c r="A24" s="209"/>
      <c r="B24" s="209"/>
      <c r="C24" s="209"/>
      <c r="D24" s="209"/>
      <c r="E24" s="209"/>
      <c r="F24" s="209"/>
      <c r="G24" s="209"/>
    </row>
    <row r="25" spans="1:7" x14ac:dyDescent="0.2">
      <c r="A25" s="81"/>
      <c r="B25" s="81"/>
      <c r="C25" s="81"/>
      <c r="D25" s="81"/>
      <c r="E25" s="81"/>
      <c r="F25" s="81"/>
      <c r="G25" s="81"/>
    </row>
    <row r="26" spans="1:7" x14ac:dyDescent="0.2">
      <c r="A26" s="81"/>
      <c r="B26" s="81"/>
      <c r="C26" s="81"/>
      <c r="D26" s="81"/>
      <c r="E26" s="81"/>
      <c r="F26" s="81"/>
      <c r="G26" s="81"/>
    </row>
    <row r="27" spans="1:7" x14ac:dyDescent="0.2">
      <c r="A27" s="84"/>
      <c r="B27" s="81"/>
      <c r="C27" s="81"/>
      <c r="D27" s="81"/>
      <c r="E27" s="81"/>
      <c r="F27" s="81"/>
      <c r="G27" s="81"/>
    </row>
    <row r="28" spans="1:7" x14ac:dyDescent="0.2">
      <c r="A28" s="81"/>
      <c r="B28" s="81"/>
      <c r="C28" s="81"/>
      <c r="D28" s="81"/>
      <c r="E28" s="81"/>
      <c r="F28" s="81"/>
      <c r="G28" s="81"/>
    </row>
    <row r="29" spans="1:7" x14ac:dyDescent="0.2">
      <c r="A29" s="81"/>
      <c r="B29" s="81"/>
      <c r="C29" s="81"/>
      <c r="D29" s="81"/>
      <c r="E29" s="85"/>
      <c r="F29" s="81"/>
      <c r="G29" s="81"/>
    </row>
    <row r="30" spans="1:7" x14ac:dyDescent="0.2">
      <c r="A30" s="81"/>
      <c r="B30" s="81"/>
      <c r="C30" s="81"/>
      <c r="D30" s="81"/>
      <c r="E30" s="85"/>
      <c r="F30" s="81"/>
      <c r="G30" s="81"/>
    </row>
    <row r="31" spans="1:7" x14ac:dyDescent="0.2">
      <c r="A31" s="81"/>
      <c r="B31" s="81"/>
      <c r="C31" s="81"/>
      <c r="D31" s="81"/>
      <c r="E31" s="81"/>
      <c r="F31" s="81"/>
      <c r="G31" s="81"/>
    </row>
    <row r="32" spans="1:7" x14ac:dyDescent="0.2">
      <c r="A32" s="81"/>
      <c r="B32" s="81"/>
      <c r="C32" s="81"/>
      <c r="D32" s="81"/>
      <c r="E32" s="81"/>
      <c r="F32" s="81"/>
      <c r="G32" s="81"/>
    </row>
    <row r="33" spans="1:7" x14ac:dyDescent="0.2">
      <c r="A33" s="81"/>
      <c r="B33" s="81"/>
      <c r="C33" s="81"/>
      <c r="D33" s="81"/>
      <c r="E33" s="81"/>
      <c r="F33" s="81"/>
      <c r="G33" s="81"/>
    </row>
    <row r="34" spans="1:7" x14ac:dyDescent="0.2">
      <c r="A34" s="81"/>
      <c r="B34" s="81"/>
      <c r="C34" s="81"/>
      <c r="D34" s="81"/>
      <c r="E34" s="81"/>
      <c r="F34" s="81"/>
      <c r="G34" s="81"/>
    </row>
    <row r="35" spans="1:7" x14ac:dyDescent="0.2">
      <c r="A35" s="81"/>
      <c r="B35" s="81"/>
      <c r="C35" s="81"/>
      <c r="D35" s="81"/>
      <c r="E35" s="81"/>
      <c r="F35" s="81"/>
      <c r="G35" s="81"/>
    </row>
    <row r="36" spans="1:7" x14ac:dyDescent="0.2">
      <c r="A36" s="81"/>
      <c r="B36" s="81"/>
      <c r="C36" s="81"/>
      <c r="D36" s="81"/>
      <c r="E36" s="81"/>
      <c r="F36" s="81"/>
      <c r="G36" s="81"/>
    </row>
    <row r="37" spans="1:7" x14ac:dyDescent="0.2">
      <c r="A37" s="81"/>
      <c r="B37" s="81"/>
      <c r="C37" s="81"/>
      <c r="D37" s="81"/>
      <c r="E37" s="81"/>
      <c r="F37" s="81"/>
      <c r="G37" s="81"/>
    </row>
    <row r="38" spans="1:7" x14ac:dyDescent="0.2">
      <c r="A38" s="81"/>
      <c r="B38" s="81"/>
      <c r="C38" s="81"/>
      <c r="D38" s="81"/>
      <c r="E38" s="81"/>
      <c r="F38" s="81"/>
      <c r="G38" s="81"/>
    </row>
    <row r="39" spans="1:7" x14ac:dyDescent="0.2">
      <c r="A39" s="81"/>
      <c r="B39" s="81"/>
      <c r="C39" s="81"/>
      <c r="D39" s="81"/>
      <c r="E39" s="81"/>
      <c r="F39" s="81"/>
      <c r="G39" s="81"/>
    </row>
    <row r="40" spans="1:7" x14ac:dyDescent="0.2">
      <c r="A40" s="81"/>
      <c r="B40" s="81"/>
      <c r="C40" s="81"/>
      <c r="D40" s="81"/>
      <c r="E40" s="81"/>
      <c r="F40" s="81"/>
      <c r="G40" s="81"/>
    </row>
  </sheetData>
  <mergeCells count="3">
    <mergeCell ref="A24:G24"/>
    <mergeCell ref="A23:G23"/>
    <mergeCell ref="A22:G22"/>
  </mergeCells>
  <phoneticPr fontId="0" type="noConversion"/>
  <printOptions horizontalCentered="1" verticalCentered="1"/>
  <pageMargins left="0.56999999999999995" right="0.25" top="1.18" bottom="0.95" header="0.2" footer="0.5"/>
  <pageSetup orientation="portrait" horizontalDpi="4294967293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topLeftCell="A13" zoomScaleNormal="100" workbookViewId="0">
      <selection activeCell="C31" sqref="C31"/>
    </sheetView>
  </sheetViews>
  <sheetFormatPr defaultRowHeight="15" x14ac:dyDescent="0.25"/>
  <cols>
    <col min="1" max="1" width="5.42578125" style="6" customWidth="1"/>
    <col min="2" max="2" width="60" style="2" customWidth="1"/>
    <col min="3" max="3" width="8.85546875" style="71" customWidth="1"/>
    <col min="4" max="16384" width="9.140625" style="2"/>
  </cols>
  <sheetData>
    <row r="1" spans="1:3" ht="15.75" customHeight="1" x14ac:dyDescent="0.25"/>
    <row r="2" spans="1:3" x14ac:dyDescent="0.25">
      <c r="A2" s="216" t="str">
        <f>'Cover Page'!A3</f>
        <v>Malan Food Products Pvt Ltd</v>
      </c>
      <c r="B2" s="216"/>
      <c r="C2" s="216"/>
    </row>
    <row r="3" spans="1:3" x14ac:dyDescent="0.25">
      <c r="A3" s="24"/>
      <c r="B3" s="24"/>
      <c r="C3" s="24"/>
    </row>
    <row r="4" spans="1:3" x14ac:dyDescent="0.25">
      <c r="B4" s="24" t="s">
        <v>20</v>
      </c>
    </row>
    <row r="5" spans="1:3" x14ac:dyDescent="0.25">
      <c r="A5" s="212" t="s">
        <v>22</v>
      </c>
      <c r="B5" s="212" t="s">
        <v>23</v>
      </c>
      <c r="C5" s="214" t="s">
        <v>24</v>
      </c>
    </row>
    <row r="6" spans="1:3" x14ac:dyDescent="0.25">
      <c r="A6" s="213"/>
      <c r="B6" s="213"/>
      <c r="C6" s="215"/>
    </row>
    <row r="7" spans="1:3" x14ac:dyDescent="0.25">
      <c r="A7" s="5"/>
      <c r="B7" s="72" t="s">
        <v>25</v>
      </c>
      <c r="C7" s="73"/>
    </row>
    <row r="8" spans="1:3" x14ac:dyDescent="0.25">
      <c r="A8" s="7">
        <v>1</v>
      </c>
      <c r="B8" s="32" t="s">
        <v>26</v>
      </c>
      <c r="C8" s="74">
        <v>1</v>
      </c>
    </row>
    <row r="9" spans="1:3" x14ac:dyDescent="0.25">
      <c r="A9" s="7">
        <v>2</v>
      </c>
      <c r="B9" s="32" t="s">
        <v>250</v>
      </c>
      <c r="C9" s="74">
        <v>2</v>
      </c>
    </row>
    <row r="10" spans="1:3" x14ac:dyDescent="0.25">
      <c r="A10" s="7">
        <v>3</v>
      </c>
      <c r="B10" s="32" t="s">
        <v>30</v>
      </c>
      <c r="C10" s="74">
        <v>3</v>
      </c>
    </row>
    <row r="11" spans="1:3" x14ac:dyDescent="0.25">
      <c r="A11" s="7">
        <v>4</v>
      </c>
      <c r="B11" s="32" t="s">
        <v>0</v>
      </c>
      <c r="C11" s="74">
        <v>4</v>
      </c>
    </row>
    <row r="12" spans="1:3" x14ac:dyDescent="0.25">
      <c r="A12" s="7">
        <v>5</v>
      </c>
      <c r="B12" s="32" t="s">
        <v>54</v>
      </c>
      <c r="C12" s="74">
        <v>5</v>
      </c>
    </row>
    <row r="13" spans="1:3" x14ac:dyDescent="0.25">
      <c r="A13" s="7">
        <v>6</v>
      </c>
      <c r="B13" s="32" t="s">
        <v>131</v>
      </c>
      <c r="C13" s="74">
        <v>6</v>
      </c>
    </row>
    <row r="14" spans="1:3" x14ac:dyDescent="0.25">
      <c r="A14" s="7"/>
      <c r="B14" s="32"/>
      <c r="C14" s="74"/>
    </row>
    <row r="15" spans="1:3" x14ac:dyDescent="0.25">
      <c r="A15" s="7"/>
      <c r="B15" s="75" t="s">
        <v>33</v>
      </c>
      <c r="C15" s="74"/>
    </row>
    <row r="16" spans="1:3" x14ac:dyDescent="0.25">
      <c r="A16" s="7">
        <v>1</v>
      </c>
      <c r="B16" s="32" t="s">
        <v>34</v>
      </c>
      <c r="C16" s="74">
        <v>7</v>
      </c>
    </row>
    <row r="17" spans="1:3" x14ac:dyDescent="0.25">
      <c r="A17" s="7">
        <v>2</v>
      </c>
      <c r="B17" s="32" t="s">
        <v>100</v>
      </c>
      <c r="C17" s="74">
        <v>8</v>
      </c>
    </row>
    <row r="18" spans="1:3" x14ac:dyDescent="0.25">
      <c r="A18" s="7">
        <v>3</v>
      </c>
      <c r="B18" s="32" t="s">
        <v>35</v>
      </c>
      <c r="C18" s="74">
        <v>9</v>
      </c>
    </row>
    <row r="19" spans="1:3" x14ac:dyDescent="0.25">
      <c r="A19" s="7">
        <v>4</v>
      </c>
      <c r="B19" s="32" t="s">
        <v>252</v>
      </c>
      <c r="C19" s="74">
        <v>10</v>
      </c>
    </row>
    <row r="20" spans="1:3" x14ac:dyDescent="0.25">
      <c r="A20" s="7">
        <v>5</v>
      </c>
      <c r="B20" s="32" t="s">
        <v>253</v>
      </c>
      <c r="C20" s="74">
        <v>11</v>
      </c>
    </row>
    <row r="21" spans="1:3" x14ac:dyDescent="0.25">
      <c r="A21" s="7">
        <v>6</v>
      </c>
      <c r="B21" s="32" t="s">
        <v>254</v>
      </c>
      <c r="C21" s="74">
        <v>12</v>
      </c>
    </row>
    <row r="22" spans="1:3" x14ac:dyDescent="0.25">
      <c r="A22" s="7">
        <v>7</v>
      </c>
      <c r="B22" s="32" t="s">
        <v>133</v>
      </c>
      <c r="C22" s="74">
        <v>13</v>
      </c>
    </row>
    <row r="23" spans="1:3" x14ac:dyDescent="0.25">
      <c r="A23" s="7">
        <v>8</v>
      </c>
      <c r="B23" s="32" t="s">
        <v>249</v>
      </c>
      <c r="C23" s="74">
        <v>14</v>
      </c>
    </row>
    <row r="24" spans="1:3" x14ac:dyDescent="0.25">
      <c r="A24" s="7">
        <v>9</v>
      </c>
      <c r="B24" s="32" t="s">
        <v>115</v>
      </c>
      <c r="C24" s="74">
        <v>15</v>
      </c>
    </row>
    <row r="25" spans="1:3" x14ac:dyDescent="0.25">
      <c r="A25" s="7">
        <v>10</v>
      </c>
      <c r="B25" s="32" t="s">
        <v>122</v>
      </c>
      <c r="C25" s="74">
        <v>16</v>
      </c>
    </row>
    <row r="26" spans="1:3" x14ac:dyDescent="0.25">
      <c r="A26" s="7">
        <v>11</v>
      </c>
      <c r="B26" s="41" t="s">
        <v>222</v>
      </c>
      <c r="C26" s="74">
        <v>17</v>
      </c>
    </row>
    <row r="27" spans="1:3" x14ac:dyDescent="0.25">
      <c r="A27" s="7">
        <v>12</v>
      </c>
      <c r="B27" s="32" t="s">
        <v>251</v>
      </c>
      <c r="C27" s="74">
        <v>18</v>
      </c>
    </row>
    <row r="28" spans="1:3" x14ac:dyDescent="0.25">
      <c r="A28" s="7">
        <v>13</v>
      </c>
      <c r="B28" s="32" t="s">
        <v>220</v>
      </c>
      <c r="C28" s="74">
        <v>19</v>
      </c>
    </row>
    <row r="29" spans="1:3" x14ac:dyDescent="0.25">
      <c r="A29" s="7">
        <v>14</v>
      </c>
      <c r="B29" s="32" t="s">
        <v>221</v>
      </c>
      <c r="C29" s="74">
        <v>20</v>
      </c>
    </row>
    <row r="30" spans="1:3" x14ac:dyDescent="0.25">
      <c r="A30" s="7">
        <v>15</v>
      </c>
      <c r="B30" s="32" t="s">
        <v>255</v>
      </c>
      <c r="C30" s="74" t="s">
        <v>256</v>
      </c>
    </row>
    <row r="31" spans="1:3" x14ac:dyDescent="0.25">
      <c r="A31" s="11"/>
      <c r="B31" s="31"/>
      <c r="C31" s="76"/>
    </row>
    <row r="32" spans="1:3" x14ac:dyDescent="0.25">
      <c r="A32" s="2"/>
      <c r="C32" s="2"/>
    </row>
  </sheetData>
  <mergeCells count="4">
    <mergeCell ref="B5:B6"/>
    <mergeCell ref="C5:C6"/>
    <mergeCell ref="A2:C2"/>
    <mergeCell ref="A5:A6"/>
  </mergeCells>
  <phoneticPr fontId="0" type="noConversion"/>
  <printOptions horizontalCentered="1" verticalCentered="1"/>
  <pageMargins left="1.1417322834645669" right="1.299212598425197" top="0.86614173228346458" bottom="3.6220472440944884" header="0.51181102362204722" footer="0.51181102362204722"/>
  <pageSetup orientation="portrait" horizontalDpi="4294967293" verticalDpi="144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8"/>
  <sheetViews>
    <sheetView topLeftCell="A7" zoomScaleNormal="100" zoomScaleSheetLayoutView="115" workbookViewId="0">
      <selection activeCell="E26" sqref="E26"/>
    </sheetView>
  </sheetViews>
  <sheetFormatPr defaultColWidth="19.7109375" defaultRowHeight="15" x14ac:dyDescent="0.25"/>
  <cols>
    <col min="1" max="1" width="11.42578125" style="2" customWidth="1"/>
    <col min="2" max="2" width="24.42578125" style="2" customWidth="1"/>
    <col min="3" max="3" width="5.42578125" style="2" customWidth="1"/>
    <col min="4" max="4" width="11.7109375" style="2" customWidth="1"/>
    <col min="5" max="5" width="19.85546875" style="2" bestFit="1" customWidth="1"/>
    <col min="6" max="6" width="12.42578125" style="2" customWidth="1"/>
    <col min="7" max="7" width="16.42578125" style="2" customWidth="1"/>
    <col min="8" max="8" width="19.7109375" style="2" customWidth="1"/>
    <col min="9" max="9" width="9" style="2" customWidth="1"/>
    <col min="10" max="10" width="19.7109375" style="2" customWidth="1"/>
    <col min="11" max="11" width="11.42578125" style="2" customWidth="1"/>
    <col min="12" max="12" width="19.7109375" style="2" customWidth="1"/>
    <col min="13" max="13" width="6" style="2" customWidth="1"/>
    <col min="14" max="16384" width="19.7109375" style="2"/>
  </cols>
  <sheetData>
    <row r="1" spans="1:13" x14ac:dyDescent="0.25">
      <c r="A1" s="59" t="str">
        <f>Index!A2</f>
        <v>Malan Food Products Pvt Ltd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x14ac:dyDescent="0.25">
      <c r="A2" s="59" t="s">
        <v>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x14ac:dyDescent="0.25">
      <c r="A3" s="59" t="s">
        <v>17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x14ac:dyDescent="0.25">
      <c r="A4" s="9">
        <v>1</v>
      </c>
      <c r="B4" s="19" t="s">
        <v>18</v>
      </c>
      <c r="C4" s="22" t="s">
        <v>19</v>
      </c>
      <c r="D4" s="59" t="str">
        <f>'Cover Page'!A3</f>
        <v>Malan Food Products Pvt Ltd</v>
      </c>
      <c r="E4" s="19"/>
      <c r="F4" s="19"/>
      <c r="G4" s="19"/>
      <c r="H4" s="19"/>
      <c r="I4" s="19"/>
      <c r="J4" s="19"/>
      <c r="K4" s="19"/>
      <c r="L4" s="19"/>
      <c r="M4" s="19"/>
    </row>
    <row r="5" spans="1:13" x14ac:dyDescent="0.25">
      <c r="A5" s="9">
        <v>2</v>
      </c>
      <c r="B5" s="19" t="s">
        <v>21</v>
      </c>
      <c r="C5" s="22" t="s">
        <v>19</v>
      </c>
      <c r="D5" s="17" t="s">
        <v>66</v>
      </c>
      <c r="E5" s="19"/>
      <c r="F5" s="19"/>
      <c r="G5" s="19"/>
      <c r="H5" s="19"/>
      <c r="I5" s="19"/>
      <c r="J5" s="19"/>
      <c r="K5" s="19"/>
      <c r="L5" s="19"/>
      <c r="M5" s="19"/>
    </row>
    <row r="6" spans="1:13" x14ac:dyDescent="0.25">
      <c r="A6" s="9"/>
      <c r="B6" s="19"/>
      <c r="C6" s="22"/>
      <c r="D6" s="16" t="str">
        <f>'Cover Page'!A11</f>
        <v>Rudreswar, Parbatkash</v>
      </c>
      <c r="E6" s="19"/>
      <c r="F6" s="19"/>
      <c r="G6" s="19"/>
      <c r="H6" s="19"/>
      <c r="I6" s="19"/>
      <c r="J6" s="19"/>
      <c r="K6" s="19"/>
      <c r="L6" s="19"/>
      <c r="M6" s="19"/>
    </row>
    <row r="7" spans="1:13" x14ac:dyDescent="0.25">
      <c r="A7" s="9"/>
      <c r="B7" s="19"/>
      <c r="C7" s="22"/>
      <c r="D7" s="16" t="str">
        <f>'Cover Page'!A12</f>
        <v>North Guwahati</v>
      </c>
      <c r="E7" s="19"/>
      <c r="F7" s="19"/>
      <c r="G7" s="19"/>
      <c r="H7" s="19"/>
      <c r="I7" s="19"/>
      <c r="J7" s="19"/>
      <c r="K7" s="19"/>
      <c r="L7" s="19"/>
      <c r="M7" s="19"/>
    </row>
    <row r="8" spans="1:13" x14ac:dyDescent="0.25">
      <c r="A8" s="9"/>
      <c r="B8" s="19"/>
      <c r="C8" s="22"/>
      <c r="D8" s="16" t="str">
        <f>'Cover Page'!A13</f>
        <v>Guwahati-781030</v>
      </c>
      <c r="E8" s="19"/>
      <c r="F8" s="19"/>
      <c r="G8" s="19"/>
      <c r="H8" s="19"/>
      <c r="I8" s="19"/>
      <c r="J8" s="19"/>
      <c r="K8" s="19"/>
      <c r="L8" s="19"/>
      <c r="M8" s="19"/>
    </row>
    <row r="9" spans="1:13" x14ac:dyDescent="0.25">
      <c r="A9" s="9"/>
      <c r="B9" s="19"/>
      <c r="C9" s="22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1:13" x14ac:dyDescent="0.25">
      <c r="A10" s="9"/>
      <c r="B10" s="19"/>
      <c r="C10" s="22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3" x14ac:dyDescent="0.25">
      <c r="A11" s="9">
        <v>3</v>
      </c>
      <c r="B11" s="19" t="s">
        <v>51</v>
      </c>
      <c r="C11" s="22" t="s">
        <v>19</v>
      </c>
      <c r="D11" s="19" t="s">
        <v>158</v>
      </c>
      <c r="E11" s="19"/>
      <c r="F11" s="19"/>
      <c r="G11" s="19"/>
      <c r="H11" s="19"/>
      <c r="I11" s="19"/>
      <c r="J11" s="19"/>
      <c r="K11" s="19"/>
      <c r="L11" s="19"/>
      <c r="M11" s="19"/>
    </row>
    <row r="12" spans="1:13" x14ac:dyDescent="0.25">
      <c r="A12" s="9"/>
      <c r="B12" s="19"/>
      <c r="C12" s="22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3" x14ac:dyDescent="0.25">
      <c r="A13" s="9"/>
      <c r="B13" s="19"/>
      <c r="C13" s="19"/>
      <c r="D13" s="9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25">
      <c r="A14" s="9">
        <v>5</v>
      </c>
      <c r="B14" s="59" t="s">
        <v>27</v>
      </c>
      <c r="C14" s="22" t="s">
        <v>19</v>
      </c>
      <c r="D14" s="19"/>
      <c r="E14" s="60" t="s">
        <v>148</v>
      </c>
      <c r="F14" s="19"/>
      <c r="G14" s="19"/>
      <c r="H14" s="19"/>
      <c r="I14" s="19"/>
      <c r="J14" s="19"/>
      <c r="K14" s="19"/>
      <c r="L14" s="19"/>
      <c r="M14" s="19"/>
    </row>
    <row r="15" spans="1:13" x14ac:dyDescent="0.25">
      <c r="A15" s="9"/>
      <c r="B15" s="183" t="s">
        <v>28</v>
      </c>
      <c r="C15" s="184"/>
      <c r="D15" s="184"/>
      <c r="E15" s="185" t="s">
        <v>29</v>
      </c>
      <c r="F15" s="19"/>
      <c r="G15" s="19"/>
      <c r="H15" s="19"/>
      <c r="I15" s="19"/>
      <c r="J15" s="19"/>
      <c r="K15" s="19"/>
      <c r="L15" s="19"/>
      <c r="M15" s="19"/>
    </row>
    <row r="16" spans="1:13" x14ac:dyDescent="0.25">
      <c r="A16" s="9"/>
      <c r="B16" s="20" t="s">
        <v>159</v>
      </c>
      <c r="C16" s="19"/>
      <c r="D16" s="8"/>
      <c r="E16" s="15">
        <v>0</v>
      </c>
      <c r="F16" s="19"/>
      <c r="G16" s="21"/>
      <c r="H16" s="19"/>
      <c r="I16" s="19"/>
      <c r="J16" s="19"/>
      <c r="K16" s="19"/>
      <c r="L16" s="19"/>
      <c r="M16" s="19"/>
    </row>
    <row r="17" spans="1:13" x14ac:dyDescent="0.25">
      <c r="A17" s="90"/>
      <c r="B17" s="20" t="s">
        <v>160</v>
      </c>
      <c r="C17" s="19"/>
      <c r="D17" s="8"/>
      <c r="E17" s="15">
        <v>0</v>
      </c>
      <c r="F17" s="19"/>
      <c r="G17" s="21"/>
      <c r="H17" s="19"/>
      <c r="I17" s="19"/>
      <c r="J17" s="19"/>
      <c r="K17" s="19"/>
      <c r="L17" s="19"/>
      <c r="M17" s="19"/>
    </row>
    <row r="18" spans="1:13" x14ac:dyDescent="0.25">
      <c r="A18" s="90"/>
      <c r="B18" s="20" t="s">
        <v>149</v>
      </c>
      <c r="C18" s="19"/>
      <c r="D18" s="8"/>
      <c r="E18" s="15">
        <v>0</v>
      </c>
      <c r="F18" s="62"/>
      <c r="G18" s="21"/>
      <c r="H18" s="19"/>
      <c r="I18" s="8"/>
      <c r="K18" s="19"/>
      <c r="L18" s="19"/>
      <c r="M18" s="19"/>
    </row>
    <row r="19" spans="1:13" x14ac:dyDescent="0.25">
      <c r="A19" s="9"/>
      <c r="B19" s="25" t="s">
        <v>29</v>
      </c>
      <c r="C19" s="61"/>
      <c r="D19" s="12"/>
      <c r="E19" s="28">
        <f>SUM(E16:E18)</f>
        <v>0</v>
      </c>
      <c r="F19" s="62"/>
      <c r="G19" s="62"/>
      <c r="H19" s="19"/>
      <c r="I19" s="19"/>
      <c r="J19" s="19"/>
      <c r="K19" s="19"/>
      <c r="L19" s="19"/>
      <c r="M19" s="19"/>
    </row>
    <row r="20" spans="1:13" x14ac:dyDescent="0.25">
      <c r="A20" s="9"/>
      <c r="B20" s="19"/>
      <c r="C20" s="19"/>
      <c r="D20" s="21"/>
      <c r="E20" s="19"/>
      <c r="F20" s="8"/>
      <c r="G20" s="62"/>
      <c r="H20" s="19"/>
      <c r="I20" s="19"/>
      <c r="J20" s="19"/>
      <c r="K20" s="19"/>
      <c r="L20" s="19"/>
      <c r="M20" s="19"/>
    </row>
    <row r="21" spans="1:13" x14ac:dyDescent="0.25">
      <c r="A21" s="9"/>
      <c r="B21" s="59" t="s">
        <v>31</v>
      </c>
      <c r="C21" s="22" t="s">
        <v>19</v>
      </c>
      <c r="D21" s="22"/>
      <c r="E21" s="19"/>
      <c r="F21" s="8"/>
      <c r="G21" s="19"/>
      <c r="H21" s="19"/>
      <c r="I21" s="19"/>
      <c r="J21" s="19"/>
      <c r="K21" s="19"/>
      <c r="L21" s="19"/>
      <c r="M21" s="19"/>
    </row>
    <row r="22" spans="1:13" x14ac:dyDescent="0.25">
      <c r="A22" s="9"/>
      <c r="B22" s="183" t="s">
        <v>28</v>
      </c>
      <c r="C22" s="184"/>
      <c r="D22" s="184"/>
      <c r="E22" s="185" t="s">
        <v>29</v>
      </c>
      <c r="F22" s="19"/>
      <c r="G22" s="19"/>
      <c r="H22" s="19"/>
      <c r="I22" s="19"/>
      <c r="J22" s="19"/>
      <c r="K22" s="19"/>
      <c r="L22" s="19"/>
      <c r="M22" s="19"/>
    </row>
    <row r="23" spans="1:13" x14ac:dyDescent="0.25">
      <c r="A23" s="9"/>
      <c r="B23" s="20" t="s">
        <v>77</v>
      </c>
      <c r="C23" s="22"/>
      <c r="D23" s="62"/>
      <c r="E23" s="63">
        <f>E27-E25-E24</f>
        <v>0</v>
      </c>
      <c r="F23" s="19"/>
      <c r="G23" s="19"/>
      <c r="H23" s="19"/>
      <c r="I23" s="19"/>
      <c r="J23" s="19"/>
      <c r="K23" s="19"/>
      <c r="L23" s="19"/>
      <c r="M23" s="19"/>
    </row>
    <row r="24" spans="1:13" x14ac:dyDescent="0.25">
      <c r="A24" s="9"/>
      <c r="B24" s="20" t="s">
        <v>67</v>
      </c>
      <c r="C24" s="22"/>
      <c r="D24" s="8"/>
      <c r="E24" s="63">
        <v>0</v>
      </c>
      <c r="F24" s="19"/>
      <c r="G24" s="19"/>
      <c r="H24" s="19"/>
      <c r="I24" s="19"/>
      <c r="J24" s="19"/>
      <c r="K24" s="19"/>
      <c r="L24" s="19"/>
      <c r="M24" s="19"/>
    </row>
    <row r="25" spans="1:13" x14ac:dyDescent="0.25">
      <c r="A25" s="90"/>
      <c r="B25" s="20" t="s">
        <v>161</v>
      </c>
      <c r="C25" s="118"/>
      <c r="D25" s="8"/>
      <c r="E25" s="63">
        <v>0</v>
      </c>
      <c r="F25" s="19"/>
      <c r="G25" s="19"/>
      <c r="H25" s="19"/>
      <c r="I25" s="19"/>
      <c r="J25" s="19"/>
      <c r="K25" s="19"/>
      <c r="L25" s="19"/>
      <c r="M25" s="19"/>
    </row>
    <row r="26" spans="1:13" x14ac:dyDescent="0.25">
      <c r="A26" s="9"/>
      <c r="B26" s="20"/>
      <c r="C26" s="22"/>
      <c r="D26" s="8"/>
      <c r="E26" s="63"/>
      <c r="F26" s="19"/>
      <c r="G26" s="19"/>
      <c r="H26" s="19"/>
      <c r="I26" s="19"/>
      <c r="J26" s="19"/>
      <c r="K26" s="19"/>
      <c r="L26" s="19"/>
      <c r="M26" s="19"/>
    </row>
    <row r="27" spans="1:13" x14ac:dyDescent="0.25">
      <c r="A27" s="9"/>
      <c r="B27" s="25" t="s">
        <v>29</v>
      </c>
      <c r="C27" s="61"/>
      <c r="D27" s="14"/>
      <c r="E27" s="65">
        <f>E19</f>
        <v>0</v>
      </c>
      <c r="F27" s="19"/>
      <c r="G27" s="19"/>
      <c r="H27" s="19"/>
    </row>
    <row r="28" spans="1:13" x14ac:dyDescent="0.25">
      <c r="A28" s="9"/>
      <c r="B28" s="19"/>
      <c r="C28" s="19"/>
      <c r="D28" s="21"/>
      <c r="E28" s="19"/>
      <c r="F28" s="19"/>
      <c r="G28" s="19"/>
      <c r="H28" s="19"/>
    </row>
    <row r="29" spans="1:13" x14ac:dyDescent="0.25">
      <c r="A29" s="90"/>
      <c r="B29" s="19"/>
      <c r="C29" s="19"/>
      <c r="D29" s="21"/>
      <c r="E29" s="60" t="s">
        <v>111</v>
      </c>
      <c r="F29" s="19"/>
      <c r="G29" s="19"/>
      <c r="H29" s="19"/>
    </row>
    <row r="30" spans="1:13" x14ac:dyDescent="0.25">
      <c r="A30" s="9">
        <v>6</v>
      </c>
      <c r="B30" s="19" t="s">
        <v>136</v>
      </c>
      <c r="C30" s="22" t="s">
        <v>19</v>
      </c>
      <c r="D30" s="22"/>
      <c r="E30" s="21" t="e">
        <f>DSCR!B20</f>
        <v>#DIV/0!</v>
      </c>
      <c r="F30" s="23"/>
      <c r="G30" s="78"/>
      <c r="H30" s="19"/>
    </row>
    <row r="31" spans="1:13" x14ac:dyDescent="0.25">
      <c r="A31" s="9">
        <v>7</v>
      </c>
      <c r="B31" s="19" t="s">
        <v>137</v>
      </c>
      <c r="C31" s="22" t="s">
        <v>19</v>
      </c>
      <c r="D31" s="22"/>
      <c r="E31" s="45" t="e">
        <f>'Current Ratio'!B20</f>
        <v>#DIV/0!</v>
      </c>
      <c r="F31" s="19"/>
      <c r="G31" s="19"/>
      <c r="H31" s="19"/>
    </row>
    <row r="32" spans="1:13" x14ac:dyDescent="0.25">
      <c r="A32" s="9">
        <v>8</v>
      </c>
      <c r="B32" s="19" t="s">
        <v>115</v>
      </c>
      <c r="C32" s="22" t="s">
        <v>19</v>
      </c>
      <c r="D32" s="22"/>
      <c r="E32" s="45" t="e">
        <f>'TOL TNW'!B19</f>
        <v>#DIV/0!</v>
      </c>
      <c r="F32" s="19"/>
      <c r="G32" s="19"/>
      <c r="H32" s="19"/>
    </row>
    <row r="33" spans="1:8" x14ac:dyDescent="0.25">
      <c r="A33" s="9">
        <v>9</v>
      </c>
      <c r="B33" s="19" t="s">
        <v>36</v>
      </c>
      <c r="C33" s="22" t="s">
        <v>19</v>
      </c>
      <c r="D33" s="22"/>
      <c r="E33" s="45" t="e">
        <f>'DEBT EQUITY'!B19</f>
        <v>#DIV/0!</v>
      </c>
      <c r="F33" s="19"/>
      <c r="G33" s="19"/>
      <c r="H33" s="19"/>
    </row>
    <row r="34" spans="1:8" x14ac:dyDescent="0.25">
      <c r="A34" s="9">
        <v>10</v>
      </c>
      <c r="B34" s="19" t="s">
        <v>138</v>
      </c>
      <c r="C34" s="22" t="s">
        <v>19</v>
      </c>
      <c r="D34" s="22"/>
      <c r="E34" s="112" t="e">
        <f>profit!B31*100/profit!B7</f>
        <v>#DIV/0!</v>
      </c>
      <c r="F34" s="19"/>
      <c r="G34" s="19"/>
      <c r="H34" s="19"/>
    </row>
    <row r="35" spans="1:8" x14ac:dyDescent="0.25">
      <c r="A35" s="9">
        <v>11</v>
      </c>
      <c r="B35" s="19" t="s">
        <v>139</v>
      </c>
      <c r="C35" s="22" t="s">
        <v>19</v>
      </c>
      <c r="D35" s="22"/>
      <c r="E35" s="112" t="s">
        <v>208</v>
      </c>
      <c r="F35" s="19"/>
      <c r="G35" s="19"/>
      <c r="H35" s="19"/>
    </row>
    <row r="36" spans="1:8" x14ac:dyDescent="0.25">
      <c r="A36" s="9">
        <v>12</v>
      </c>
      <c r="B36" s="19" t="s">
        <v>140</v>
      </c>
      <c r="C36" s="22"/>
      <c r="D36" s="22"/>
      <c r="E36" s="60" t="s">
        <v>209</v>
      </c>
      <c r="F36" s="19"/>
      <c r="G36" s="19"/>
      <c r="H36" s="19"/>
    </row>
    <row r="37" spans="1:8" x14ac:dyDescent="0.25">
      <c r="A37" s="19"/>
    </row>
    <row r="38" spans="1:8" x14ac:dyDescent="0.25">
      <c r="A38" s="19"/>
    </row>
    <row r="39" spans="1:8" x14ac:dyDescent="0.25">
      <c r="A39" s="19"/>
    </row>
    <row r="40" spans="1:8" x14ac:dyDescent="0.25">
      <c r="A40" s="19"/>
    </row>
    <row r="41" spans="1:8" x14ac:dyDescent="0.25">
      <c r="A41" s="19"/>
    </row>
    <row r="42" spans="1:8" x14ac:dyDescent="0.25">
      <c r="A42" s="19"/>
    </row>
    <row r="43" spans="1:8" x14ac:dyDescent="0.25">
      <c r="A43" s="19"/>
    </row>
    <row r="44" spans="1:8" x14ac:dyDescent="0.25">
      <c r="A44" s="19"/>
    </row>
    <row r="45" spans="1:8" x14ac:dyDescent="0.25">
      <c r="A45" s="19"/>
    </row>
    <row r="46" spans="1:8" x14ac:dyDescent="0.25">
      <c r="A46" s="19"/>
    </row>
    <row r="47" spans="1:8" x14ac:dyDescent="0.25">
      <c r="A47" s="19"/>
    </row>
    <row r="48" spans="1:8" x14ac:dyDescent="0.25">
      <c r="A48" s="19"/>
    </row>
    <row r="49" spans="1:1" x14ac:dyDescent="0.25">
      <c r="A49" s="19"/>
    </row>
    <row r="50" spans="1:1" x14ac:dyDescent="0.25">
      <c r="A50" s="19"/>
    </row>
    <row r="51" spans="1:1" x14ac:dyDescent="0.25">
      <c r="A51" s="19"/>
    </row>
    <row r="52" spans="1:1" x14ac:dyDescent="0.25">
      <c r="A52" s="19"/>
    </row>
    <row r="53" spans="1:1" x14ac:dyDescent="0.25">
      <c r="A53" s="19"/>
    </row>
    <row r="54" spans="1:1" x14ac:dyDescent="0.25">
      <c r="A54" s="19"/>
    </row>
    <row r="55" spans="1:1" x14ac:dyDescent="0.25">
      <c r="A55" s="19"/>
    </row>
    <row r="56" spans="1:1" x14ac:dyDescent="0.25">
      <c r="A56" s="19"/>
    </row>
    <row r="57" spans="1:1" x14ac:dyDescent="0.25">
      <c r="A57" s="19"/>
    </row>
    <row r="58" spans="1:1" x14ac:dyDescent="0.25">
      <c r="A58" s="19"/>
    </row>
    <row r="59" spans="1:1" x14ac:dyDescent="0.25">
      <c r="A59" s="19"/>
    </row>
    <row r="60" spans="1:1" x14ac:dyDescent="0.25">
      <c r="A60" s="19"/>
    </row>
    <row r="61" spans="1:1" x14ac:dyDescent="0.25">
      <c r="A61" s="19"/>
    </row>
    <row r="62" spans="1:1" x14ac:dyDescent="0.25">
      <c r="A62" s="19"/>
    </row>
    <row r="63" spans="1:1" x14ac:dyDescent="0.25">
      <c r="A63" s="19"/>
    </row>
    <row r="64" spans="1:1" x14ac:dyDescent="0.25">
      <c r="A64" s="19"/>
    </row>
    <row r="65" spans="1:1" x14ac:dyDescent="0.25">
      <c r="A65" s="19"/>
    </row>
    <row r="66" spans="1:1" x14ac:dyDescent="0.25">
      <c r="A66" s="19"/>
    </row>
    <row r="67" spans="1:1" x14ac:dyDescent="0.25">
      <c r="A67" s="19"/>
    </row>
    <row r="68" spans="1:1" x14ac:dyDescent="0.25">
      <c r="A68" s="19"/>
    </row>
    <row r="69" spans="1:1" x14ac:dyDescent="0.25">
      <c r="A69" s="19"/>
    </row>
    <row r="70" spans="1:1" x14ac:dyDescent="0.25">
      <c r="A70" s="19"/>
    </row>
    <row r="71" spans="1:1" x14ac:dyDescent="0.25">
      <c r="A71" s="19"/>
    </row>
    <row r="72" spans="1:1" x14ac:dyDescent="0.25">
      <c r="A72" s="19"/>
    </row>
    <row r="73" spans="1:1" x14ac:dyDescent="0.25">
      <c r="A73" s="19"/>
    </row>
    <row r="74" spans="1:1" x14ac:dyDescent="0.25">
      <c r="A74" s="19"/>
    </row>
    <row r="75" spans="1:1" x14ac:dyDescent="0.25">
      <c r="A75" s="19"/>
    </row>
    <row r="76" spans="1:1" x14ac:dyDescent="0.25">
      <c r="A76" s="19"/>
    </row>
    <row r="77" spans="1:1" x14ac:dyDescent="0.25">
      <c r="A77" s="19"/>
    </row>
    <row r="78" spans="1:1" x14ac:dyDescent="0.25">
      <c r="A78" s="19"/>
    </row>
    <row r="79" spans="1:1" x14ac:dyDescent="0.25">
      <c r="A79" s="19"/>
    </row>
    <row r="80" spans="1:1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</sheetData>
  <phoneticPr fontId="0" type="noConversion"/>
  <printOptions horizontalCentered="1"/>
  <pageMargins left="0.42" right="0.26" top="1.26" bottom="0.59" header="0.19" footer="0.36"/>
  <pageSetup orientation="portrait" horizontalDpi="4294967293" verticalDpi="144" r:id="rId1"/>
  <headerFooter alignWithMargins="0">
    <oddFooter>&amp;CPage &amp;P of 11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A6" sqref="A6:H7"/>
    </sheetView>
  </sheetViews>
  <sheetFormatPr defaultRowHeight="16.5" x14ac:dyDescent="0.3"/>
  <cols>
    <col min="1" max="1" width="28.5703125" style="152" customWidth="1"/>
    <col min="2" max="8" width="10.5703125" style="152" customWidth="1"/>
    <col min="9" max="16384" width="9.140625" style="152"/>
  </cols>
  <sheetData>
    <row r="1" spans="1:8" x14ac:dyDescent="0.3">
      <c r="A1" s="1" t="str">
        <f>DSCR!A1</f>
        <v>Malan Food Products Pvt Ltd</v>
      </c>
    </row>
    <row r="2" spans="1:8" x14ac:dyDescent="0.3">
      <c r="A2" s="1" t="s">
        <v>223</v>
      </c>
    </row>
    <row r="3" spans="1:8" x14ac:dyDescent="0.3">
      <c r="A3" s="2"/>
    </row>
    <row r="4" spans="1:8" x14ac:dyDescent="0.3">
      <c r="A4" s="1" t="s">
        <v>224</v>
      </c>
    </row>
    <row r="5" spans="1:8" ht="5.0999999999999996" customHeight="1" x14ac:dyDescent="0.3"/>
    <row r="6" spans="1:8" x14ac:dyDescent="0.3">
      <c r="A6" s="217" t="s">
        <v>28</v>
      </c>
      <c r="B6" s="219" t="s">
        <v>75</v>
      </c>
      <c r="C6" s="219"/>
      <c r="D6" s="219"/>
      <c r="E6" s="219"/>
      <c r="F6" s="219"/>
      <c r="G6" s="219"/>
      <c r="H6" s="220"/>
    </row>
    <row r="7" spans="1:8" x14ac:dyDescent="0.3">
      <c r="A7" s="218"/>
      <c r="B7" s="185">
        <v>1</v>
      </c>
      <c r="C7" s="185">
        <v>2</v>
      </c>
      <c r="D7" s="185">
        <v>3</v>
      </c>
      <c r="E7" s="185">
        <v>4</v>
      </c>
      <c r="F7" s="185">
        <v>5</v>
      </c>
      <c r="G7" s="185">
        <v>6</v>
      </c>
      <c r="H7" s="198">
        <v>7</v>
      </c>
    </row>
    <row r="8" spans="1:8" ht="5.0999999999999996" customHeight="1" x14ac:dyDescent="0.3">
      <c r="A8" s="157"/>
      <c r="B8" s="157"/>
      <c r="C8" s="157"/>
      <c r="D8" s="157"/>
      <c r="E8" s="157"/>
      <c r="F8" s="157"/>
      <c r="G8" s="157"/>
      <c r="H8" s="154"/>
    </row>
    <row r="9" spans="1:8" x14ac:dyDescent="0.3">
      <c r="A9" s="182" t="s">
        <v>225</v>
      </c>
      <c r="B9" s="159" t="e">
        <f>'Current Ratio'!B20</f>
        <v>#DIV/0!</v>
      </c>
      <c r="C9" s="159" t="e">
        <f>'Current Ratio'!C20</f>
        <v>#DIV/0!</v>
      </c>
      <c r="D9" s="159" t="e">
        <f>'Current Ratio'!D20</f>
        <v>#DIV/0!</v>
      </c>
      <c r="E9" s="159" t="e">
        <f>'Current Ratio'!E20</f>
        <v>#DIV/0!</v>
      </c>
      <c r="F9" s="159" t="e">
        <f>'Current Ratio'!F20</f>
        <v>#DIV/0!</v>
      </c>
      <c r="G9" s="159" t="e">
        <f>'Current Ratio'!G20</f>
        <v>#DIV/0!</v>
      </c>
      <c r="H9" s="155" t="e">
        <f>'Current Ratio'!H20</f>
        <v>#DIV/0!</v>
      </c>
    </row>
    <row r="10" spans="1:8" ht="5.0999999999999996" customHeight="1" x14ac:dyDescent="0.3">
      <c r="A10" s="182"/>
      <c r="B10" s="159"/>
      <c r="C10" s="159"/>
      <c r="D10" s="159"/>
      <c r="E10" s="159"/>
      <c r="F10" s="159"/>
      <c r="G10" s="159"/>
      <c r="H10" s="155"/>
    </row>
    <row r="11" spans="1:8" x14ac:dyDescent="0.3">
      <c r="A11" s="182" t="s">
        <v>226</v>
      </c>
      <c r="B11" s="159" t="e">
        <f>'Quick ratio'!B19</f>
        <v>#DIV/0!</v>
      </c>
      <c r="C11" s="159" t="e">
        <f>'Quick ratio'!C19</f>
        <v>#DIV/0!</v>
      </c>
      <c r="D11" s="159" t="e">
        <f>'Quick ratio'!D19</f>
        <v>#DIV/0!</v>
      </c>
      <c r="E11" s="159" t="e">
        <f>'Quick ratio'!E19</f>
        <v>#DIV/0!</v>
      </c>
      <c r="F11" s="159" t="e">
        <f>'Quick ratio'!F19</f>
        <v>#DIV/0!</v>
      </c>
      <c r="G11" s="159" t="e">
        <f>'Quick ratio'!G19</f>
        <v>#DIV/0!</v>
      </c>
      <c r="H11" s="155" t="e">
        <f>'Quick ratio'!H19</f>
        <v>#DIV/0!</v>
      </c>
    </row>
    <row r="12" spans="1:8" ht="5.0999999999999996" customHeight="1" x14ac:dyDescent="0.3">
      <c r="A12" s="182"/>
      <c r="B12" s="159"/>
      <c r="C12" s="159"/>
      <c r="D12" s="159"/>
      <c r="E12" s="159"/>
      <c r="F12" s="159"/>
      <c r="G12" s="159"/>
      <c r="H12" s="155"/>
    </row>
    <row r="13" spans="1:8" x14ac:dyDescent="0.3">
      <c r="A13" s="182" t="s">
        <v>136</v>
      </c>
      <c r="B13" s="159" t="e">
        <f>DSCR!B20</f>
        <v>#DIV/0!</v>
      </c>
      <c r="C13" s="159" t="e">
        <f>DSCR!C20</f>
        <v>#DIV/0!</v>
      </c>
      <c r="D13" s="159" t="e">
        <f>DSCR!D20</f>
        <v>#DIV/0!</v>
      </c>
      <c r="E13" s="159" t="e">
        <f>DSCR!E20</f>
        <v>#DIV/0!</v>
      </c>
      <c r="F13" s="159" t="e">
        <f>DSCR!F20</f>
        <v>#DIV/0!</v>
      </c>
      <c r="G13" s="159" t="e">
        <f>DSCR!G20</f>
        <v>#DIV/0!</v>
      </c>
      <c r="H13" s="155" t="e">
        <f>DSCR!H20</f>
        <v>#DIV/0!</v>
      </c>
    </row>
    <row r="14" spans="1:8" ht="5.0999999999999996" customHeight="1" x14ac:dyDescent="0.3">
      <c r="A14" s="182"/>
      <c r="B14" s="159"/>
      <c r="C14" s="159"/>
      <c r="D14" s="159"/>
      <c r="E14" s="159"/>
      <c r="F14" s="159"/>
      <c r="G14" s="159"/>
      <c r="H14" s="155"/>
    </row>
    <row r="15" spans="1:8" x14ac:dyDescent="0.3">
      <c r="A15" s="182" t="s">
        <v>115</v>
      </c>
      <c r="B15" s="159" t="e">
        <f>'TOL TNW'!B19</f>
        <v>#DIV/0!</v>
      </c>
      <c r="C15" s="159" t="e">
        <f>'TOL TNW'!C19</f>
        <v>#DIV/0!</v>
      </c>
      <c r="D15" s="159" t="e">
        <f>'TOL TNW'!D19</f>
        <v>#DIV/0!</v>
      </c>
      <c r="E15" s="159" t="e">
        <f>'TOL TNW'!E19</f>
        <v>#DIV/0!</v>
      </c>
      <c r="F15" s="159" t="e">
        <f>'TOL TNW'!F19</f>
        <v>#DIV/0!</v>
      </c>
      <c r="G15" s="159" t="e">
        <f>'TOL TNW'!G19</f>
        <v>#DIV/0!</v>
      </c>
      <c r="H15" s="155" t="e">
        <f>'TOL TNW'!H19</f>
        <v>#DIV/0!</v>
      </c>
    </row>
    <row r="16" spans="1:8" ht="5.0999999999999996" customHeight="1" x14ac:dyDescent="0.3">
      <c r="A16" s="182"/>
      <c r="B16" s="159"/>
      <c r="C16" s="159"/>
      <c r="D16" s="159"/>
      <c r="E16" s="159"/>
      <c r="F16" s="159"/>
      <c r="G16" s="159"/>
      <c r="H16" s="155"/>
    </row>
    <row r="17" spans="1:8" x14ac:dyDescent="0.3">
      <c r="A17" s="182" t="s">
        <v>36</v>
      </c>
      <c r="B17" s="159" t="e">
        <f>'DEBT EQUITY'!B19</f>
        <v>#DIV/0!</v>
      </c>
      <c r="C17" s="159" t="e">
        <f>'DEBT EQUITY'!C19</f>
        <v>#DIV/0!</v>
      </c>
      <c r="D17" s="159" t="e">
        <f>'DEBT EQUITY'!D19</f>
        <v>#DIV/0!</v>
      </c>
      <c r="E17" s="159" t="e">
        <f>'DEBT EQUITY'!E19</f>
        <v>#DIV/0!</v>
      </c>
      <c r="F17" s="159" t="e">
        <f>'DEBT EQUITY'!F19</f>
        <v>#DIV/0!</v>
      </c>
      <c r="G17" s="159" t="e">
        <f>'DEBT EQUITY'!G19</f>
        <v>#DIV/0!</v>
      </c>
      <c r="H17" s="155" t="e">
        <f>'DEBT EQUITY'!H19</f>
        <v>#DIV/0!</v>
      </c>
    </row>
    <row r="18" spans="1:8" ht="5.0999999999999996" customHeight="1" x14ac:dyDescent="0.3">
      <c r="A18" s="182"/>
      <c r="B18" s="159"/>
      <c r="C18" s="159"/>
      <c r="D18" s="159"/>
      <c r="E18" s="159"/>
      <c r="F18" s="159"/>
      <c r="G18" s="159"/>
      <c r="H18" s="155"/>
    </row>
    <row r="19" spans="1:8" x14ac:dyDescent="0.3">
      <c r="A19" s="182" t="s">
        <v>227</v>
      </c>
      <c r="B19" s="159" t="e">
        <f>profit!B31*100/profit!B7</f>
        <v>#DIV/0!</v>
      </c>
      <c r="C19" s="159" t="e">
        <f>profit!C31*100/profit!C7</f>
        <v>#DIV/0!</v>
      </c>
      <c r="D19" s="159" t="e">
        <f>profit!D31*100/profit!D7</f>
        <v>#DIV/0!</v>
      </c>
      <c r="E19" s="159" t="e">
        <f>profit!E31*100/profit!E7</f>
        <v>#DIV/0!</v>
      </c>
      <c r="F19" s="159" t="e">
        <f>profit!F31*100/profit!F7</f>
        <v>#DIV/0!</v>
      </c>
      <c r="G19" s="159" t="e">
        <f>profit!G31*100/profit!G7</f>
        <v>#DIV/0!</v>
      </c>
      <c r="H19" s="155" t="e">
        <f>profit!H31*100/profit!H7</f>
        <v>#DIV/0!</v>
      </c>
    </row>
    <row r="20" spans="1:8" ht="5.0999999999999996" customHeight="1" x14ac:dyDescent="0.3">
      <c r="A20" s="182"/>
      <c r="B20" s="159"/>
      <c r="C20" s="159"/>
      <c r="D20" s="159"/>
      <c r="E20" s="159"/>
      <c r="F20" s="159"/>
      <c r="G20" s="159"/>
      <c r="H20" s="155"/>
    </row>
    <row r="21" spans="1:8" x14ac:dyDescent="0.3">
      <c r="A21" s="182" t="s">
        <v>228</v>
      </c>
      <c r="B21" s="159" t="e">
        <f>FACR!B18</f>
        <v>#DIV/0!</v>
      </c>
      <c r="C21" s="159" t="e">
        <f>FACR!C18</f>
        <v>#DIV/0!</v>
      </c>
      <c r="D21" s="159" t="e">
        <f>FACR!D18</f>
        <v>#DIV/0!</v>
      </c>
      <c r="E21" s="159" t="e">
        <f>FACR!E18</f>
        <v>#DIV/0!</v>
      </c>
      <c r="F21" s="159" t="e">
        <f>FACR!F18</f>
        <v>#DIV/0!</v>
      </c>
      <c r="G21" s="159" t="e">
        <f>FACR!G18</f>
        <v>#DIV/0!</v>
      </c>
      <c r="H21" s="155">
        <f>FACR!H18</f>
        <v>0</v>
      </c>
    </row>
    <row r="22" spans="1:8" ht="5.0999999999999996" customHeight="1" x14ac:dyDescent="0.3">
      <c r="A22" s="182"/>
      <c r="B22" s="159"/>
      <c r="C22" s="159"/>
      <c r="D22" s="159"/>
      <c r="E22" s="159"/>
      <c r="F22" s="159"/>
      <c r="G22" s="159"/>
      <c r="H22" s="155"/>
    </row>
    <row r="23" spans="1:8" x14ac:dyDescent="0.3">
      <c r="A23" s="182" t="s">
        <v>229</v>
      </c>
      <c r="B23" s="159" t="e">
        <f>ROCE!B20</f>
        <v>#DIV/0!</v>
      </c>
      <c r="C23" s="159" t="e">
        <f>ROCE!C20</f>
        <v>#DIV/0!</v>
      </c>
      <c r="D23" s="159" t="e">
        <f>ROCE!D20</f>
        <v>#DIV/0!</v>
      </c>
      <c r="E23" s="159" t="e">
        <f>ROCE!E20</f>
        <v>#DIV/0!</v>
      </c>
      <c r="F23" s="159" t="e">
        <f>ROCE!F20</f>
        <v>#DIV/0!</v>
      </c>
      <c r="G23" s="159" t="e">
        <f>ROCE!G20</f>
        <v>#DIV/0!</v>
      </c>
      <c r="H23" s="155" t="e">
        <f>ROCE!H20</f>
        <v>#DIV/0!</v>
      </c>
    </row>
    <row r="24" spans="1:8" ht="5.0999999999999996" customHeight="1" x14ac:dyDescent="0.3">
      <c r="A24" s="158"/>
      <c r="B24" s="158"/>
      <c r="C24" s="158"/>
      <c r="D24" s="158"/>
      <c r="E24" s="158"/>
      <c r="F24" s="158"/>
      <c r="G24" s="158"/>
      <c r="H24" s="156"/>
    </row>
  </sheetData>
  <mergeCells count="2">
    <mergeCell ref="A6:A7"/>
    <mergeCell ref="B6:H6"/>
  </mergeCells>
  <pageMargins left="0" right="0" top="0.74803149606299213" bottom="0.74803149606299213" header="0.31496062992125984" footer="0.31496062992125984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opLeftCell="A13" zoomScaleNormal="100" workbookViewId="0">
      <selection activeCell="A23" sqref="A23:C23"/>
    </sheetView>
  </sheetViews>
  <sheetFormatPr defaultRowHeight="15" x14ac:dyDescent="0.25"/>
  <cols>
    <col min="1" max="1" width="40.140625" style="2" customWidth="1"/>
    <col min="2" max="2" width="8.140625" style="2" customWidth="1"/>
    <col min="3" max="3" width="15" style="2" bestFit="1" customWidth="1"/>
    <col min="4" max="4" width="11" style="2" customWidth="1"/>
    <col min="5" max="8" width="10" style="2" customWidth="1"/>
    <col min="9" max="9" width="12.5703125" style="2" customWidth="1"/>
    <col min="10" max="16384" width="9.140625" style="2"/>
  </cols>
  <sheetData>
    <row r="1" spans="1:15" x14ac:dyDescent="0.25">
      <c r="A1" s="222" t="str">
        <f>'PROJECT AT GLANCE'!D4</f>
        <v>Malan Food Products Pvt Ltd</v>
      </c>
      <c r="B1" s="222"/>
      <c r="C1" s="222"/>
      <c r="D1" s="222"/>
      <c r="E1" s="222"/>
    </row>
    <row r="2" spans="1:15" x14ac:dyDescent="0.25">
      <c r="A2" s="223" t="str">
        <f>'PROJECT AT GLANCE'!D6</f>
        <v>Rudreswar, Parbatkash</v>
      </c>
      <c r="B2" s="223"/>
      <c r="C2" s="223"/>
      <c r="D2" s="223"/>
      <c r="E2" s="223"/>
    </row>
    <row r="3" spans="1:15" x14ac:dyDescent="0.25">
      <c r="A3" s="79"/>
      <c r="B3" s="79"/>
      <c r="C3" s="79"/>
      <c r="D3" s="79"/>
      <c r="E3" s="79"/>
    </row>
    <row r="4" spans="1:15" x14ac:dyDescent="0.25">
      <c r="A4" s="222"/>
      <c r="B4" s="222"/>
      <c r="C4" s="222"/>
      <c r="D4" s="222"/>
      <c r="E4" s="222"/>
    </row>
    <row r="7" spans="1:15" x14ac:dyDescent="0.25">
      <c r="A7" s="1" t="s">
        <v>43</v>
      </c>
      <c r="B7" s="1"/>
      <c r="E7" s="3"/>
      <c r="G7" s="19"/>
      <c r="H7" s="19"/>
      <c r="I7" s="19"/>
      <c r="J7" s="19"/>
      <c r="K7" s="19"/>
      <c r="L7" s="19"/>
      <c r="M7" s="19"/>
      <c r="N7" s="19"/>
      <c r="O7" s="19"/>
    </row>
    <row r="8" spans="1:15" x14ac:dyDescent="0.25">
      <c r="A8" s="1"/>
      <c r="B8" s="1"/>
      <c r="E8" s="3"/>
      <c r="G8" s="19"/>
      <c r="H8" s="19"/>
      <c r="I8" s="19"/>
      <c r="J8" s="19"/>
      <c r="K8" s="19"/>
      <c r="L8" s="19"/>
      <c r="M8" s="19"/>
      <c r="N8" s="19"/>
      <c r="O8" s="19"/>
    </row>
    <row r="9" spans="1:15" x14ac:dyDescent="0.25">
      <c r="A9" s="1" t="s">
        <v>44</v>
      </c>
      <c r="E9" s="3"/>
      <c r="G9" s="19"/>
      <c r="H9" s="19"/>
      <c r="I9" s="19"/>
      <c r="J9" s="19"/>
      <c r="K9" s="19"/>
      <c r="L9" s="19"/>
      <c r="M9" s="19"/>
      <c r="N9" s="19"/>
      <c r="O9" s="19"/>
    </row>
    <row r="10" spans="1:15" x14ac:dyDescent="0.25">
      <c r="A10" s="1"/>
      <c r="E10" s="3"/>
      <c r="G10" s="19"/>
      <c r="H10" s="19"/>
      <c r="I10" s="19"/>
      <c r="J10" s="19"/>
      <c r="K10" s="19"/>
      <c r="L10" s="19"/>
      <c r="M10" s="19"/>
      <c r="N10" s="19"/>
      <c r="O10" s="19"/>
    </row>
    <row r="11" spans="1:15" x14ac:dyDescent="0.25">
      <c r="A11" s="2" t="s">
        <v>50</v>
      </c>
      <c r="C11" s="58">
        <f>'PROJECT AT GLANCE'!E19</f>
        <v>0</v>
      </c>
      <c r="D11" s="4"/>
      <c r="G11" s="19"/>
      <c r="H11" s="19"/>
      <c r="I11" s="19"/>
      <c r="J11" s="19"/>
      <c r="K11" s="19"/>
      <c r="L11" s="19"/>
      <c r="M11" s="19"/>
      <c r="N11" s="19"/>
      <c r="O11" s="19"/>
    </row>
    <row r="12" spans="1:15" x14ac:dyDescent="0.25">
      <c r="D12" s="58"/>
      <c r="E12" s="4"/>
      <c r="G12" s="19"/>
      <c r="H12" s="19"/>
      <c r="I12" s="19"/>
      <c r="J12" s="19"/>
      <c r="K12" s="19"/>
      <c r="L12" s="19"/>
      <c r="M12" s="19"/>
      <c r="N12" s="19"/>
      <c r="O12" s="19"/>
    </row>
    <row r="13" spans="1:15" x14ac:dyDescent="0.25">
      <c r="A13" s="2" t="s">
        <v>46</v>
      </c>
      <c r="E13" s="3"/>
      <c r="G13" s="19"/>
      <c r="H13" s="19"/>
      <c r="I13" s="19"/>
      <c r="J13" s="19"/>
      <c r="K13" s="19"/>
      <c r="L13" s="19"/>
      <c r="M13" s="19"/>
      <c r="N13" s="19"/>
      <c r="O13" s="19"/>
    </row>
    <row r="14" spans="1:15" x14ac:dyDescent="0.25">
      <c r="E14" s="1"/>
      <c r="G14" s="19"/>
      <c r="H14" s="19"/>
      <c r="I14" s="19"/>
      <c r="J14" s="19"/>
      <c r="K14" s="19"/>
      <c r="L14" s="19"/>
      <c r="M14" s="19"/>
      <c r="N14" s="19"/>
      <c r="O14" s="19"/>
    </row>
    <row r="15" spans="1:15" x14ac:dyDescent="0.25">
      <c r="A15" s="59" t="s">
        <v>27</v>
      </c>
      <c r="B15" s="22" t="s">
        <v>19</v>
      </c>
      <c r="C15" s="60" t="s">
        <v>150</v>
      </c>
      <c r="E15" s="60"/>
      <c r="F15" s="221"/>
      <c r="G15" s="221"/>
      <c r="H15" s="22"/>
      <c r="I15" s="22"/>
    </row>
    <row r="16" spans="1:15" x14ac:dyDescent="0.25">
      <c r="A16" s="183" t="s">
        <v>28</v>
      </c>
      <c r="B16" s="184"/>
      <c r="C16" s="185" t="s">
        <v>29</v>
      </c>
      <c r="E16" s="22"/>
      <c r="F16" s="9"/>
      <c r="G16" s="9"/>
      <c r="H16" s="9"/>
      <c r="I16" s="9"/>
    </row>
    <row r="17" spans="1:10" x14ac:dyDescent="0.25">
      <c r="A17" s="20" t="str">
        <f>'PROJECT AT GLANCE'!B16</f>
        <v>Stock Purchase</v>
      </c>
      <c r="B17" s="22"/>
      <c r="C17" s="15">
        <f>'PROJECT AT GLANCE'!E16</f>
        <v>0</v>
      </c>
      <c r="E17" s="8"/>
      <c r="F17" s="8"/>
      <c r="G17" s="8"/>
      <c r="H17" s="8"/>
      <c r="I17" s="9"/>
    </row>
    <row r="18" spans="1:10" x14ac:dyDescent="0.25">
      <c r="A18" s="20" t="str">
        <f>'PROJECT AT GLANCE'!B17</f>
        <v>Construction</v>
      </c>
      <c r="C18" s="15">
        <f>'PROJECT AT GLANCE'!E17</f>
        <v>0</v>
      </c>
      <c r="E18" s="8"/>
      <c r="F18" s="8"/>
      <c r="G18" s="27"/>
      <c r="H18" s="27"/>
      <c r="I18" s="8"/>
    </row>
    <row r="19" spans="1:10" x14ac:dyDescent="0.25">
      <c r="A19" s="20" t="str">
        <f>'PROJECT AT GLANCE'!B18</f>
        <v>Machinery &amp; Equipments</v>
      </c>
      <c r="C19" s="15">
        <f>'PROJECT AT GLANCE'!E18</f>
        <v>0</v>
      </c>
      <c r="E19" s="8"/>
      <c r="F19" s="8"/>
      <c r="G19" s="27"/>
      <c r="H19" s="27"/>
      <c r="I19" s="8"/>
    </row>
    <row r="20" spans="1:10" x14ac:dyDescent="0.25">
      <c r="A20" s="25" t="s">
        <v>29</v>
      </c>
      <c r="B20" s="61"/>
      <c r="C20" s="28">
        <f>SUM(C17:C19)</f>
        <v>0</v>
      </c>
      <c r="E20" s="8"/>
      <c r="F20" s="8"/>
      <c r="G20" s="8"/>
      <c r="H20" s="27"/>
      <c r="I20" s="8"/>
    </row>
    <row r="21" spans="1:10" x14ac:dyDescent="0.25">
      <c r="A21" s="19"/>
      <c r="B21" s="19"/>
      <c r="C21" s="19"/>
      <c r="E21" s="8"/>
      <c r="F21" s="8"/>
      <c r="G21" s="27"/>
      <c r="H21" s="27"/>
      <c r="I21" s="8"/>
    </row>
    <row r="22" spans="1:10" x14ac:dyDescent="0.25">
      <c r="A22" s="59" t="s">
        <v>31</v>
      </c>
      <c r="B22" s="22" t="s">
        <v>19</v>
      </c>
      <c r="C22" s="19"/>
      <c r="E22" s="22"/>
      <c r="F22" s="8"/>
      <c r="G22" s="8"/>
      <c r="H22" s="8"/>
      <c r="I22" s="8"/>
    </row>
    <row r="23" spans="1:10" x14ac:dyDescent="0.25">
      <c r="A23" s="183" t="s">
        <v>28</v>
      </c>
      <c r="B23" s="184"/>
      <c r="C23" s="185" t="s">
        <v>29</v>
      </c>
      <c r="E23" s="62"/>
      <c r="F23" s="8"/>
      <c r="G23" s="8"/>
      <c r="H23" s="8"/>
      <c r="I23" s="8"/>
    </row>
    <row r="24" spans="1:10" x14ac:dyDescent="0.25">
      <c r="A24" s="20" t="s">
        <v>32</v>
      </c>
      <c r="B24" s="22"/>
      <c r="C24" s="63">
        <f>'PROJECT AT GLANCE'!E23</f>
        <v>0</v>
      </c>
      <c r="E24" s="62"/>
      <c r="F24" s="8"/>
      <c r="G24" s="8"/>
      <c r="H24" s="8"/>
      <c r="I24" s="8"/>
    </row>
    <row r="25" spans="1:10" x14ac:dyDescent="0.25">
      <c r="A25" s="20" t="s">
        <v>67</v>
      </c>
      <c r="B25" s="22"/>
      <c r="C25" s="63">
        <f>'PROJECT AT GLANCE'!E24</f>
        <v>0</v>
      </c>
      <c r="E25" s="62"/>
      <c r="F25" s="22"/>
      <c r="G25" s="64"/>
      <c r="H25" s="19"/>
    </row>
    <row r="26" spans="1:10" x14ac:dyDescent="0.25">
      <c r="A26" s="20" t="s">
        <v>161</v>
      </c>
      <c r="B26" s="118"/>
      <c r="C26" s="63">
        <f>'PROJECT AT GLANCE'!E25</f>
        <v>0</v>
      </c>
      <c r="E26" s="62"/>
      <c r="F26" s="118"/>
      <c r="G26" s="64"/>
      <c r="H26" s="19"/>
    </row>
    <row r="27" spans="1:10" x14ac:dyDescent="0.25">
      <c r="A27" s="25" t="s">
        <v>29</v>
      </c>
      <c r="B27" s="61"/>
      <c r="C27" s="65">
        <f>C20</f>
        <v>0</v>
      </c>
      <c r="E27" s="62"/>
      <c r="F27" s="9"/>
      <c r="G27" s="9"/>
      <c r="H27" s="9"/>
      <c r="I27" s="9"/>
    </row>
    <row r="28" spans="1:10" x14ac:dyDescent="0.25">
      <c r="A28" s="19"/>
      <c r="B28" s="19"/>
      <c r="C28" s="19"/>
      <c r="D28" s="19"/>
      <c r="E28" s="19"/>
    </row>
    <row r="29" spans="1:10" x14ac:dyDescent="0.25">
      <c r="A29" s="2" t="s">
        <v>141</v>
      </c>
      <c r="B29" s="24"/>
      <c r="C29" s="119" t="e">
        <f>(C24*100/C27)%</f>
        <v>#DIV/0!</v>
      </c>
      <c r="D29" s="24"/>
      <c r="E29" s="66"/>
      <c r="F29" s="66"/>
      <c r="G29" s="67"/>
      <c r="J29" s="68"/>
    </row>
    <row r="30" spans="1:10" x14ac:dyDescent="0.25">
      <c r="B30" s="24"/>
      <c r="D30" s="24"/>
      <c r="E30" s="67"/>
      <c r="F30" s="67"/>
      <c r="G30" s="67"/>
    </row>
    <row r="31" spans="1:10" x14ac:dyDescent="0.25">
      <c r="B31" s="24"/>
      <c r="C31" s="24"/>
      <c r="D31" s="24"/>
      <c r="E31" s="48"/>
      <c r="F31" s="48"/>
      <c r="G31" s="48"/>
    </row>
    <row r="32" spans="1:10" x14ac:dyDescent="0.25">
      <c r="B32" s="24"/>
      <c r="C32" s="24"/>
      <c r="D32" s="24"/>
      <c r="E32" s="48"/>
      <c r="F32" s="48"/>
      <c r="G32" s="48"/>
    </row>
    <row r="33" spans="2:7" x14ac:dyDescent="0.25">
      <c r="B33" s="24"/>
      <c r="C33" s="24"/>
      <c r="D33" s="24"/>
      <c r="E33" s="69"/>
      <c r="F33" s="69"/>
      <c r="G33" s="69"/>
    </row>
    <row r="34" spans="2:7" x14ac:dyDescent="0.25">
      <c r="B34" s="24"/>
      <c r="C34" s="24"/>
      <c r="D34" s="24"/>
      <c r="E34" s="70"/>
      <c r="F34" s="70"/>
    </row>
    <row r="35" spans="2:7" x14ac:dyDescent="0.25">
      <c r="B35" s="24"/>
      <c r="C35" s="24"/>
      <c r="D35" s="24"/>
      <c r="E35" s="24"/>
      <c r="F35" s="24"/>
      <c r="G35" s="24"/>
    </row>
    <row r="36" spans="2:7" x14ac:dyDescent="0.25">
      <c r="B36" s="24"/>
      <c r="C36" s="24"/>
      <c r="D36" s="24"/>
      <c r="E36" s="24"/>
      <c r="F36" s="24"/>
      <c r="G36" s="24"/>
    </row>
    <row r="37" spans="2:7" x14ac:dyDescent="0.25">
      <c r="B37" s="24"/>
      <c r="C37" s="24"/>
      <c r="D37" s="24"/>
      <c r="E37" s="24"/>
      <c r="F37" s="24"/>
      <c r="G37" s="24"/>
    </row>
    <row r="38" spans="2:7" x14ac:dyDescent="0.25">
      <c r="B38" s="24"/>
      <c r="C38" s="24"/>
      <c r="D38" s="24"/>
      <c r="E38" s="24"/>
      <c r="F38" s="24"/>
      <c r="G38" s="24"/>
    </row>
  </sheetData>
  <mergeCells count="4">
    <mergeCell ref="F15:G15"/>
    <mergeCell ref="A1:E1"/>
    <mergeCell ref="A2:E2"/>
    <mergeCell ref="A4:E4"/>
  </mergeCells>
  <phoneticPr fontId="0" type="noConversion"/>
  <printOptions horizontalCentered="1" verticalCentered="1"/>
  <pageMargins left="0.97" right="1.64" top="0.38" bottom="4.67" header="0.28999999999999998" footer="0.5"/>
  <pageSetup orientation="portrait" horizontalDpi="4294967293" verticalDpi="144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zoomScaleNormal="100" workbookViewId="0">
      <selection activeCell="I41" sqref="I41"/>
    </sheetView>
  </sheetViews>
  <sheetFormatPr defaultRowHeight="15" x14ac:dyDescent="0.25"/>
  <cols>
    <col min="1" max="1" width="26.42578125" style="2" customWidth="1"/>
    <col min="2" max="5" width="14.7109375" style="2" customWidth="1"/>
    <col min="6" max="8" width="16" style="2" customWidth="1"/>
    <col min="9" max="16384" width="9.140625" style="2"/>
  </cols>
  <sheetData>
    <row r="1" spans="1:9" x14ac:dyDescent="0.25">
      <c r="A1" s="120" t="str">
        <f>Cash!A1</f>
        <v>Malan Food Products Pvt Ltd</v>
      </c>
    </row>
    <row r="2" spans="1:9" x14ac:dyDescent="0.25">
      <c r="A2" s="1" t="s">
        <v>37</v>
      </c>
      <c r="B2" s="1"/>
    </row>
    <row r="3" spans="1:9" x14ac:dyDescent="0.25">
      <c r="A3" s="1" t="s">
        <v>0</v>
      </c>
      <c r="B3" s="1"/>
      <c r="C3" s="19"/>
      <c r="E3" s="18"/>
      <c r="F3" s="18"/>
      <c r="G3" s="18"/>
      <c r="H3" s="18" t="s">
        <v>86</v>
      </c>
    </row>
    <row r="4" spans="1:9" x14ac:dyDescent="0.25">
      <c r="A4" s="224" t="s">
        <v>1</v>
      </c>
      <c r="B4" s="225" t="s">
        <v>74</v>
      </c>
      <c r="C4" s="219"/>
      <c r="D4" s="219"/>
      <c r="E4" s="219"/>
      <c r="F4" s="219"/>
      <c r="G4" s="219"/>
      <c r="H4" s="220"/>
    </row>
    <row r="5" spans="1:9" x14ac:dyDescent="0.25">
      <c r="A5" s="213"/>
      <c r="B5" s="199">
        <v>1</v>
      </c>
      <c r="C5" s="185">
        <v>2</v>
      </c>
      <c r="D5" s="185">
        <v>3</v>
      </c>
      <c r="E5" s="185">
        <v>4</v>
      </c>
      <c r="F5" s="185">
        <v>5</v>
      </c>
      <c r="G5" s="185">
        <v>6</v>
      </c>
      <c r="H5" s="185">
        <v>7</v>
      </c>
    </row>
    <row r="6" spans="1:9" x14ac:dyDescent="0.25">
      <c r="A6" s="20" t="s">
        <v>88</v>
      </c>
      <c r="B6" s="20"/>
      <c r="C6" s="15"/>
      <c r="D6" s="8"/>
      <c r="E6" s="15"/>
      <c r="F6" s="15"/>
      <c r="G6" s="15"/>
      <c r="H6" s="15"/>
    </row>
    <row r="7" spans="1:9" x14ac:dyDescent="0.25">
      <c r="A7" s="91" t="s">
        <v>89</v>
      </c>
      <c r="B7" s="10">
        <v>0</v>
      </c>
      <c r="C7" s="10">
        <f>ROUND(B7+(B7*20%),0)</f>
        <v>0</v>
      </c>
      <c r="D7" s="10">
        <f>ROUND(C7+(C7*15%),0)</f>
        <v>0</v>
      </c>
      <c r="E7" s="10">
        <f>ROUND(D7+(D7*15%),0)</f>
        <v>0</v>
      </c>
      <c r="F7" s="10">
        <f>ROUND(E7+(E7*10%),0)</f>
        <v>0</v>
      </c>
      <c r="G7" s="10">
        <f>ROUND(F7+(F7*10%),0)</f>
        <v>0</v>
      </c>
      <c r="H7" s="10">
        <f>ROUND(G7+(G7*10%),0)</f>
        <v>0</v>
      </c>
    </row>
    <row r="8" spans="1:9" x14ac:dyDescent="0.25">
      <c r="A8" s="91" t="s">
        <v>97</v>
      </c>
      <c r="B8" s="10"/>
      <c r="C8" s="10"/>
      <c r="D8" s="10"/>
      <c r="E8" s="10"/>
      <c r="F8" s="10"/>
      <c r="G8" s="10"/>
      <c r="H8" s="10"/>
    </row>
    <row r="9" spans="1:9" x14ac:dyDescent="0.25">
      <c r="A9" s="20"/>
      <c r="B9" s="186">
        <f>SUM(B7:B8)</f>
        <v>0</v>
      </c>
      <c r="C9" s="186">
        <f>SUM(C7:C8)</f>
        <v>0</v>
      </c>
      <c r="D9" s="186">
        <f>SUM(D7:D8)</f>
        <v>0</v>
      </c>
      <c r="E9" s="186">
        <f>SUM(E7:E8)</f>
        <v>0</v>
      </c>
      <c r="F9" s="186">
        <f>SUM(F7:F8)</f>
        <v>0</v>
      </c>
      <c r="G9" s="186">
        <f t="shared" ref="G9:H9" si="0">SUM(G7:G8)</f>
        <v>0</v>
      </c>
      <c r="H9" s="186">
        <f t="shared" si="0"/>
        <v>0</v>
      </c>
    </row>
    <row r="10" spans="1:9" x14ac:dyDescent="0.25">
      <c r="A10" s="41" t="s">
        <v>85</v>
      </c>
      <c r="B10" s="42"/>
      <c r="C10" s="15"/>
      <c r="D10" s="15"/>
      <c r="E10" s="15"/>
      <c r="F10" s="15"/>
      <c r="G10" s="15"/>
      <c r="H10" s="15"/>
    </row>
    <row r="11" spans="1:9" x14ac:dyDescent="0.25">
      <c r="A11" s="41" t="s">
        <v>90</v>
      </c>
      <c r="B11" s="42">
        <v>0</v>
      </c>
      <c r="C11" s="56">
        <v>0</v>
      </c>
      <c r="D11" s="56">
        <v>0</v>
      </c>
      <c r="E11" s="56">
        <v>0</v>
      </c>
      <c r="F11" s="10">
        <v>0</v>
      </c>
      <c r="G11" s="10">
        <v>0</v>
      </c>
      <c r="H11" s="10">
        <v>0</v>
      </c>
    </row>
    <row r="12" spans="1:9" x14ac:dyDescent="0.25">
      <c r="A12" s="41" t="s">
        <v>142</v>
      </c>
      <c r="B12" s="42">
        <v>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</row>
    <row r="13" spans="1:9" x14ac:dyDescent="0.25">
      <c r="A13" s="41" t="s">
        <v>87</v>
      </c>
      <c r="B13" s="42">
        <v>0</v>
      </c>
      <c r="C13" s="56">
        <f>ROUND(B13+(B13*5%),-1)</f>
        <v>0</v>
      </c>
      <c r="D13" s="56">
        <f t="shared" ref="C13:E14" si="1">ROUND(C13+(C13*5%),-1)</f>
        <v>0</v>
      </c>
      <c r="E13" s="56">
        <f t="shared" si="1"/>
        <v>0</v>
      </c>
      <c r="F13" s="10">
        <f t="shared" ref="F13:H14" si="2">ROUND(E13+(E13*5%),-1)</f>
        <v>0</v>
      </c>
      <c r="G13" s="10">
        <f t="shared" si="2"/>
        <v>0</v>
      </c>
      <c r="H13" s="10">
        <f t="shared" si="2"/>
        <v>0</v>
      </c>
    </row>
    <row r="14" spans="1:9" x14ac:dyDescent="0.25">
      <c r="A14" s="41" t="s">
        <v>96</v>
      </c>
      <c r="B14" s="56">
        <v>0</v>
      </c>
      <c r="C14" s="56">
        <f t="shared" si="1"/>
        <v>0</v>
      </c>
      <c r="D14" s="56">
        <f t="shared" si="1"/>
        <v>0</v>
      </c>
      <c r="E14" s="56">
        <f t="shared" si="1"/>
        <v>0</v>
      </c>
      <c r="F14" s="10">
        <f t="shared" si="2"/>
        <v>0</v>
      </c>
      <c r="G14" s="10">
        <f t="shared" si="2"/>
        <v>0</v>
      </c>
      <c r="H14" s="10">
        <f t="shared" si="2"/>
        <v>0</v>
      </c>
    </row>
    <row r="15" spans="1:9" x14ac:dyDescent="0.25">
      <c r="A15" s="41" t="s">
        <v>2</v>
      </c>
      <c r="B15" s="55">
        <f>Depr.!B26</f>
        <v>0</v>
      </c>
      <c r="C15" s="55">
        <f>Depr.!C26</f>
        <v>0</v>
      </c>
      <c r="D15" s="55">
        <f>Depr.!D26</f>
        <v>0</v>
      </c>
      <c r="E15" s="55">
        <f>Depr.!E26</f>
        <v>0</v>
      </c>
      <c r="F15" s="55">
        <f>Depr.!F26</f>
        <v>0</v>
      </c>
      <c r="G15" s="55">
        <f>Depr.!G26</f>
        <v>0</v>
      </c>
      <c r="H15" s="13">
        <f>Depr.!H26</f>
        <v>0</v>
      </c>
    </row>
    <row r="16" spans="1:9" x14ac:dyDescent="0.25">
      <c r="A16" s="41" t="s">
        <v>78</v>
      </c>
      <c r="B16" s="187">
        <f>SUM(B11:B15)</f>
        <v>0</v>
      </c>
      <c r="C16" s="187">
        <f>SUM(C11:C15)</f>
        <v>0</v>
      </c>
      <c r="D16" s="187">
        <f>SUM(D11:D15)</f>
        <v>0</v>
      </c>
      <c r="E16" s="187">
        <f>SUM(E11:E15)</f>
        <v>0</v>
      </c>
      <c r="F16" s="186">
        <f>SUM(F11:F15)</f>
        <v>0</v>
      </c>
      <c r="G16" s="186">
        <f t="shared" ref="G16:H16" si="3">SUM(G11:G15)</f>
        <v>0</v>
      </c>
      <c r="H16" s="186">
        <f t="shared" si="3"/>
        <v>0</v>
      </c>
      <c r="I16" s="54"/>
    </row>
    <row r="17" spans="1:9" x14ac:dyDescent="0.25">
      <c r="A17" s="41"/>
      <c r="B17" s="38"/>
      <c r="C17" s="33"/>
      <c r="D17" s="33"/>
      <c r="E17" s="33"/>
      <c r="F17" s="33"/>
      <c r="G17" s="33"/>
      <c r="H17" s="33"/>
    </row>
    <row r="18" spans="1:9" x14ac:dyDescent="0.25">
      <c r="A18" s="41" t="s">
        <v>93</v>
      </c>
      <c r="B18" s="187">
        <f>B9-B16</f>
        <v>0</v>
      </c>
      <c r="C18" s="186">
        <f>C9-C16</f>
        <v>0</v>
      </c>
      <c r="D18" s="186">
        <f>D9-D16</f>
        <v>0</v>
      </c>
      <c r="E18" s="186">
        <f>E9-E16</f>
        <v>0</v>
      </c>
      <c r="F18" s="186">
        <f>F9-F16</f>
        <v>0</v>
      </c>
      <c r="G18" s="186">
        <f t="shared" ref="G18:H18" si="4">G9-G16</f>
        <v>0</v>
      </c>
      <c r="H18" s="186">
        <f t="shared" si="4"/>
        <v>0</v>
      </c>
      <c r="I18" s="54"/>
    </row>
    <row r="19" spans="1:9" x14ac:dyDescent="0.25">
      <c r="A19" s="41"/>
      <c r="B19" s="56"/>
      <c r="C19" s="10"/>
      <c r="D19" s="10"/>
      <c r="E19" s="10"/>
      <c r="F19" s="10"/>
      <c r="G19" s="10"/>
      <c r="H19" s="10"/>
    </row>
    <row r="20" spans="1:9" x14ac:dyDescent="0.25">
      <c r="A20" s="41" t="s">
        <v>166</v>
      </c>
      <c r="B20" s="56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</row>
    <row r="21" spans="1:9" x14ac:dyDescent="0.25">
      <c r="A21" s="41"/>
      <c r="B21" s="56"/>
      <c r="C21" s="56"/>
      <c r="D21" s="56"/>
      <c r="E21" s="56"/>
      <c r="F21" s="10"/>
      <c r="G21" s="10"/>
      <c r="H21" s="10"/>
    </row>
    <row r="22" spans="1:9" x14ac:dyDescent="0.25">
      <c r="A22" s="41" t="s">
        <v>94</v>
      </c>
      <c r="B22" s="187">
        <f>B18-B20</f>
        <v>0</v>
      </c>
      <c r="C22" s="187">
        <f>C18-C20</f>
        <v>0</v>
      </c>
      <c r="D22" s="187">
        <f>D18-D20</f>
        <v>0</v>
      </c>
      <c r="E22" s="187">
        <f>E18-E20</f>
        <v>0</v>
      </c>
      <c r="F22" s="186">
        <f>F18-F20</f>
        <v>0</v>
      </c>
      <c r="G22" s="186">
        <f t="shared" ref="G22:H22" si="5">G18-G20</f>
        <v>0</v>
      </c>
      <c r="H22" s="186">
        <f t="shared" si="5"/>
        <v>0</v>
      </c>
    </row>
    <row r="23" spans="1:9" x14ac:dyDescent="0.25">
      <c r="A23" s="41"/>
      <c r="B23" s="56"/>
      <c r="C23" s="10"/>
      <c r="D23" s="10"/>
      <c r="E23" s="10"/>
      <c r="F23" s="10"/>
      <c r="G23" s="10"/>
      <c r="H23" s="10"/>
    </row>
    <row r="24" spans="1:9" x14ac:dyDescent="0.25">
      <c r="A24" s="41" t="s">
        <v>91</v>
      </c>
      <c r="B24" s="56">
        <v>0</v>
      </c>
      <c r="C24" s="10">
        <f>-B25</f>
        <v>0</v>
      </c>
      <c r="D24" s="10">
        <f>-C25</f>
        <v>0</v>
      </c>
      <c r="E24" s="10">
        <f>-D25</f>
        <v>0</v>
      </c>
      <c r="F24" s="10">
        <f>-E25</f>
        <v>0</v>
      </c>
      <c r="G24" s="10">
        <f t="shared" ref="G24:H24" si="6">-F25</f>
        <v>0</v>
      </c>
      <c r="H24" s="10">
        <f t="shared" si="6"/>
        <v>0</v>
      </c>
    </row>
    <row r="25" spans="1:9" x14ac:dyDescent="0.25">
      <c r="A25" s="41" t="s">
        <v>92</v>
      </c>
      <c r="B25" s="56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</row>
    <row r="26" spans="1:9" x14ac:dyDescent="0.25">
      <c r="A26" s="41"/>
      <c r="B26" s="56"/>
      <c r="C26" s="10"/>
      <c r="D26" s="10"/>
      <c r="E26" s="10"/>
      <c r="F26" s="10"/>
      <c r="G26" s="10"/>
      <c r="H26" s="10"/>
    </row>
    <row r="27" spans="1:9" x14ac:dyDescent="0.25">
      <c r="A27" s="41" t="s">
        <v>98</v>
      </c>
      <c r="B27" s="187">
        <f>SUM(B22:B26)</f>
        <v>0</v>
      </c>
      <c r="C27" s="187">
        <f>SUM(C22:C26)</f>
        <v>0</v>
      </c>
      <c r="D27" s="187">
        <f>SUM(D22:D26)</f>
        <v>0</v>
      </c>
      <c r="E27" s="187">
        <f>SUM(E22:E26)</f>
        <v>0</v>
      </c>
      <c r="F27" s="186">
        <f>SUM(F22:F26)</f>
        <v>0</v>
      </c>
      <c r="G27" s="186">
        <f t="shared" ref="G27:H27" si="7">SUM(G22:G26)</f>
        <v>0</v>
      </c>
      <c r="H27" s="186">
        <f t="shared" si="7"/>
        <v>0</v>
      </c>
    </row>
    <row r="28" spans="1:9" x14ac:dyDescent="0.25">
      <c r="A28" s="41"/>
      <c r="B28" s="56"/>
      <c r="C28" s="10"/>
      <c r="D28" s="10"/>
      <c r="E28" s="10"/>
      <c r="F28" s="10"/>
      <c r="G28" s="10"/>
      <c r="H28" s="10"/>
    </row>
    <row r="29" spans="1:9" x14ac:dyDescent="0.25">
      <c r="A29" s="41" t="s">
        <v>95</v>
      </c>
      <c r="B29" s="56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</row>
    <row r="30" spans="1:9" x14ac:dyDescent="0.25">
      <c r="A30" s="41"/>
      <c r="B30" s="56"/>
      <c r="C30" s="10"/>
      <c r="D30" s="10"/>
      <c r="E30" s="10"/>
      <c r="F30" s="10"/>
      <c r="G30" s="10"/>
      <c r="H30" s="10"/>
    </row>
    <row r="31" spans="1:9" x14ac:dyDescent="0.25">
      <c r="A31" s="41" t="s">
        <v>99</v>
      </c>
      <c r="B31" s="187">
        <f>B27-B29</f>
        <v>0</v>
      </c>
      <c r="C31" s="187">
        <f>C27-C29</f>
        <v>0</v>
      </c>
      <c r="D31" s="187">
        <f>D27-D29</f>
        <v>0</v>
      </c>
      <c r="E31" s="187">
        <f>E27-E29</f>
        <v>0</v>
      </c>
      <c r="F31" s="186">
        <f>F27-F29</f>
        <v>0</v>
      </c>
      <c r="G31" s="186">
        <f t="shared" ref="G31:H31" si="8">G27-G29</f>
        <v>0</v>
      </c>
      <c r="H31" s="186">
        <f t="shared" si="8"/>
        <v>0</v>
      </c>
    </row>
    <row r="32" spans="1:9" x14ac:dyDescent="0.25">
      <c r="A32" s="41"/>
      <c r="B32" s="56"/>
      <c r="C32" s="10"/>
      <c r="D32" s="10"/>
      <c r="E32" s="10"/>
      <c r="F32" s="10"/>
      <c r="G32" s="10"/>
      <c r="H32" s="10"/>
    </row>
    <row r="33" spans="1:8" x14ac:dyDescent="0.25">
      <c r="A33" s="41" t="s">
        <v>3</v>
      </c>
      <c r="B33" s="42">
        <v>0</v>
      </c>
      <c r="C33" s="42">
        <v>0</v>
      </c>
      <c r="D33" s="42">
        <v>0</v>
      </c>
      <c r="E33" s="42">
        <v>0</v>
      </c>
      <c r="F33" s="42">
        <v>0</v>
      </c>
      <c r="G33" s="42">
        <v>0</v>
      </c>
      <c r="H33" s="15">
        <v>0</v>
      </c>
    </row>
    <row r="34" spans="1:8" x14ac:dyDescent="0.25">
      <c r="A34" s="41"/>
      <c r="B34" s="56"/>
      <c r="C34" s="10"/>
      <c r="D34" s="10"/>
      <c r="E34" s="10"/>
      <c r="F34" s="10"/>
      <c r="G34" s="10"/>
      <c r="H34" s="10"/>
    </row>
    <row r="35" spans="1:8" x14ac:dyDescent="0.25">
      <c r="A35" s="41" t="s">
        <v>64</v>
      </c>
      <c r="B35" s="56">
        <f>B31-B33</f>
        <v>0</v>
      </c>
      <c r="C35" s="56">
        <f t="shared" ref="C35:H35" si="9">C31-C33</f>
        <v>0</v>
      </c>
      <c r="D35" s="56">
        <f t="shared" si="9"/>
        <v>0</v>
      </c>
      <c r="E35" s="56">
        <f t="shared" si="9"/>
        <v>0</v>
      </c>
      <c r="F35" s="56">
        <f t="shared" si="9"/>
        <v>0</v>
      </c>
      <c r="G35" s="56">
        <f t="shared" si="9"/>
        <v>0</v>
      </c>
      <c r="H35" s="10">
        <f t="shared" si="9"/>
        <v>0</v>
      </c>
    </row>
    <row r="36" spans="1:8" x14ac:dyDescent="0.25">
      <c r="A36" s="41"/>
      <c r="B36" s="56"/>
      <c r="C36" s="10"/>
      <c r="D36" s="10"/>
      <c r="E36" s="10"/>
      <c r="F36" s="10"/>
      <c r="G36" s="10"/>
      <c r="H36" s="10"/>
    </row>
    <row r="37" spans="1:8" x14ac:dyDescent="0.25">
      <c r="A37" s="41" t="s">
        <v>63</v>
      </c>
      <c r="B37" s="56">
        <f>B15</f>
        <v>0</v>
      </c>
      <c r="C37" s="10">
        <f>C15</f>
        <v>0</v>
      </c>
      <c r="D37" s="10">
        <f>D15</f>
        <v>0</v>
      </c>
      <c r="E37" s="10">
        <f>E15</f>
        <v>0</v>
      </c>
      <c r="F37" s="10">
        <f>F15</f>
        <v>0</v>
      </c>
      <c r="G37" s="10">
        <f t="shared" ref="G37:H37" si="10">G15</f>
        <v>0</v>
      </c>
      <c r="H37" s="10">
        <f t="shared" si="10"/>
        <v>0</v>
      </c>
    </row>
    <row r="38" spans="1:8" x14ac:dyDescent="0.25">
      <c r="A38" s="41"/>
      <c r="B38" s="56"/>
      <c r="C38" s="10"/>
      <c r="D38" s="10"/>
      <c r="E38" s="10"/>
      <c r="F38" s="10"/>
      <c r="G38" s="10"/>
      <c r="H38" s="10"/>
    </row>
    <row r="39" spans="1:8" x14ac:dyDescent="0.25">
      <c r="A39" s="41" t="s">
        <v>4</v>
      </c>
      <c r="B39" s="56">
        <f>B35+B37</f>
        <v>0</v>
      </c>
      <c r="C39" s="10">
        <f>C35+C37</f>
        <v>0</v>
      </c>
      <c r="D39" s="10">
        <f>D35+D37</f>
        <v>0</v>
      </c>
      <c r="E39" s="10">
        <f>E35+E37</f>
        <v>0</v>
      </c>
      <c r="F39" s="10">
        <f>F35+F37</f>
        <v>0</v>
      </c>
      <c r="G39" s="10">
        <f t="shared" ref="G39:H39" si="11">G35+G37</f>
        <v>0</v>
      </c>
      <c r="H39" s="10">
        <f t="shared" si="11"/>
        <v>0</v>
      </c>
    </row>
    <row r="40" spans="1:8" x14ac:dyDescent="0.25">
      <c r="A40" s="41"/>
      <c r="B40" s="56"/>
      <c r="C40" s="10"/>
      <c r="D40" s="10"/>
      <c r="E40" s="10"/>
      <c r="F40" s="10"/>
      <c r="G40" s="10"/>
      <c r="H40" s="10"/>
    </row>
    <row r="41" spans="1:8" s="48" customFormat="1" x14ac:dyDescent="0.25">
      <c r="A41" s="57" t="s">
        <v>53</v>
      </c>
      <c r="B41" s="56">
        <v>0</v>
      </c>
      <c r="C41" s="56">
        <v>0</v>
      </c>
      <c r="D41" s="56">
        <v>0</v>
      </c>
      <c r="E41" s="56">
        <v>0</v>
      </c>
      <c r="F41" s="10">
        <v>0</v>
      </c>
      <c r="G41" s="10">
        <v>0</v>
      </c>
      <c r="H41" s="10">
        <v>0</v>
      </c>
    </row>
    <row r="42" spans="1:8" x14ac:dyDescent="0.25">
      <c r="A42" s="41"/>
      <c r="B42" s="56"/>
      <c r="C42" s="10"/>
      <c r="D42" s="10"/>
      <c r="E42" s="10"/>
      <c r="F42" s="10"/>
      <c r="G42" s="10"/>
      <c r="H42" s="10"/>
    </row>
    <row r="43" spans="1:8" x14ac:dyDescent="0.25">
      <c r="A43" s="36" t="s">
        <v>73</v>
      </c>
      <c r="B43" s="187">
        <f t="shared" ref="B43:H43" si="12">+B39-B41</f>
        <v>0</v>
      </c>
      <c r="C43" s="187">
        <f t="shared" si="12"/>
        <v>0</v>
      </c>
      <c r="D43" s="187">
        <f t="shared" si="12"/>
        <v>0</v>
      </c>
      <c r="E43" s="187">
        <f t="shared" si="12"/>
        <v>0</v>
      </c>
      <c r="F43" s="186">
        <f t="shared" si="12"/>
        <v>0</v>
      </c>
      <c r="G43" s="186">
        <f t="shared" si="12"/>
        <v>0</v>
      </c>
      <c r="H43" s="186">
        <f t="shared" si="12"/>
        <v>0</v>
      </c>
    </row>
    <row r="45" spans="1:8" x14ac:dyDescent="0.25">
      <c r="B45" s="92">
        <f>B7*5%</f>
        <v>0</v>
      </c>
      <c r="C45" s="92">
        <f t="shared" ref="C45:H45" si="13">C7*5%</f>
        <v>0</v>
      </c>
      <c r="D45" s="92">
        <f t="shared" si="13"/>
        <v>0</v>
      </c>
      <c r="E45" s="92">
        <f t="shared" si="13"/>
        <v>0</v>
      </c>
      <c r="F45" s="92">
        <f t="shared" si="13"/>
        <v>0</v>
      </c>
      <c r="G45" s="92">
        <f t="shared" si="13"/>
        <v>0</v>
      </c>
      <c r="H45" s="92">
        <f t="shared" si="13"/>
        <v>0</v>
      </c>
    </row>
    <row r="46" spans="1:8" x14ac:dyDescent="0.25">
      <c r="B46" s="92"/>
      <c r="C46" s="92"/>
      <c r="D46" s="92"/>
      <c r="E46" s="92"/>
      <c r="F46" s="92"/>
      <c r="G46" s="92"/>
      <c r="H46" s="92"/>
    </row>
    <row r="47" spans="1:8" x14ac:dyDescent="0.25">
      <c r="B47" s="92">
        <f>B31-B45</f>
        <v>0</v>
      </c>
      <c r="C47" s="92">
        <f t="shared" ref="C47:H47" si="14">C31-C45</f>
        <v>0</v>
      </c>
      <c r="D47" s="92">
        <f t="shared" si="14"/>
        <v>0</v>
      </c>
      <c r="E47" s="92">
        <f t="shared" si="14"/>
        <v>0</v>
      </c>
      <c r="F47" s="92">
        <f t="shared" si="14"/>
        <v>0</v>
      </c>
      <c r="G47" s="92">
        <f t="shared" si="14"/>
        <v>0</v>
      </c>
      <c r="H47" s="92">
        <f t="shared" si="14"/>
        <v>0</v>
      </c>
    </row>
    <row r="48" spans="1:8" x14ac:dyDescent="0.25">
      <c r="B48" s="92">
        <f>ROUND(B47,-1)</f>
        <v>0</v>
      </c>
      <c r="C48" s="92">
        <f t="shared" ref="C48:H48" si="15">ROUND(C47,-1)</f>
        <v>0</v>
      </c>
      <c r="D48" s="92">
        <f t="shared" si="15"/>
        <v>0</v>
      </c>
      <c r="E48" s="92">
        <f t="shared" si="15"/>
        <v>0</v>
      </c>
      <c r="F48" s="92">
        <f t="shared" si="15"/>
        <v>0</v>
      </c>
      <c r="G48" s="92">
        <f t="shared" si="15"/>
        <v>0</v>
      </c>
      <c r="H48" s="92">
        <f t="shared" si="15"/>
        <v>0</v>
      </c>
    </row>
    <row r="49" spans="2:5" x14ac:dyDescent="0.25">
      <c r="B49" s="92"/>
      <c r="C49" s="48"/>
      <c r="D49" s="48"/>
      <c r="E49" s="48"/>
    </row>
    <row r="54" spans="2:5" x14ac:dyDescent="0.25">
      <c r="B54" s="2">
        <f>70610</f>
        <v>70610</v>
      </c>
      <c r="C54" s="2">
        <f>3000000*12%</f>
        <v>360000</v>
      </c>
    </row>
    <row r="55" spans="2:5" x14ac:dyDescent="0.25">
      <c r="B55" s="2">
        <f>C54/12</f>
        <v>30000</v>
      </c>
    </row>
    <row r="56" spans="2:5" x14ac:dyDescent="0.25">
      <c r="B56" s="2">
        <f>B54+B55</f>
        <v>100610</v>
      </c>
    </row>
    <row r="57" spans="2:5" x14ac:dyDescent="0.25">
      <c r="B57" s="2">
        <f>B56/40%</f>
        <v>251525</v>
      </c>
    </row>
    <row r="58" spans="2:5" x14ac:dyDescent="0.25">
      <c r="B58" s="2">
        <f>B57*12</f>
        <v>3018300</v>
      </c>
    </row>
    <row r="59" spans="2:5" x14ac:dyDescent="0.25">
      <c r="B59" s="2">
        <f>B58/5%</f>
        <v>60366000</v>
      </c>
    </row>
  </sheetData>
  <mergeCells count="2">
    <mergeCell ref="A4:A5"/>
    <mergeCell ref="B4:H4"/>
  </mergeCells>
  <phoneticPr fontId="0" type="noConversion"/>
  <pageMargins left="0" right="0" top="0.9055118110236221" bottom="0.59055118110236227" header="0.27559055118110237" footer="0.51181102362204722"/>
  <pageSetup scale="90" orientation="portrait" horizontalDpi="4294967293" verticalDpi="144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zoomScaleNormal="100" workbookViewId="0">
      <selection activeCell="H19" sqref="H19"/>
    </sheetView>
  </sheetViews>
  <sheetFormatPr defaultRowHeight="15" x14ac:dyDescent="0.25"/>
  <cols>
    <col min="1" max="1" width="21.28515625" style="48" customWidth="1"/>
    <col min="2" max="8" width="15.85546875" style="48" customWidth="1"/>
    <col min="9" max="9" width="14" style="48" customWidth="1"/>
    <col min="10" max="16384" width="9.140625" style="48"/>
  </cols>
  <sheetData>
    <row r="1" spans="1:8" x14ac:dyDescent="0.25">
      <c r="A1" s="47" t="str">
        <f>Depr.!A1</f>
        <v>Malan Food Products Pvt Ltd</v>
      </c>
    </row>
    <row r="2" spans="1:8" x14ac:dyDescent="0.25">
      <c r="A2" s="88" t="s">
        <v>52</v>
      </c>
      <c r="B2" s="47"/>
    </row>
    <row r="3" spans="1:8" x14ac:dyDescent="0.25">
      <c r="A3" s="88"/>
      <c r="B3" s="47"/>
    </row>
    <row r="4" spans="1:8" x14ac:dyDescent="0.25">
      <c r="A4" s="88" t="s">
        <v>54</v>
      </c>
      <c r="B4" s="47"/>
    </row>
    <row r="5" spans="1:8" x14ac:dyDescent="0.25">
      <c r="A5" s="89"/>
      <c r="B5" s="49"/>
    </row>
    <row r="6" spans="1:8" x14ac:dyDescent="0.25">
      <c r="A6" s="226" t="s">
        <v>1</v>
      </c>
      <c r="B6" s="228" t="s">
        <v>75</v>
      </c>
      <c r="C6" s="229"/>
      <c r="D6" s="229"/>
      <c r="E6" s="229"/>
      <c r="F6" s="229"/>
      <c r="G6" s="229"/>
      <c r="H6" s="230"/>
    </row>
    <row r="7" spans="1:8" s="50" customFormat="1" x14ac:dyDescent="0.25">
      <c r="A7" s="227"/>
      <c r="B7" s="200">
        <v>1</v>
      </c>
      <c r="C7" s="201">
        <v>2</v>
      </c>
      <c r="D7" s="201">
        <v>3</v>
      </c>
      <c r="E7" s="201">
        <v>4</v>
      </c>
      <c r="F7" s="201">
        <v>5</v>
      </c>
      <c r="G7" s="201">
        <v>6</v>
      </c>
      <c r="H7" s="201">
        <v>7</v>
      </c>
    </row>
    <row r="8" spans="1:8" ht="6" customHeight="1" x14ac:dyDescent="0.25">
      <c r="A8" s="38"/>
      <c r="B8" s="38"/>
      <c r="C8" s="33"/>
      <c r="D8" s="27"/>
      <c r="E8" s="33"/>
      <c r="F8" s="35"/>
      <c r="G8" s="35"/>
      <c r="H8" s="35"/>
    </row>
    <row r="9" spans="1:8" x14ac:dyDescent="0.25">
      <c r="A9" s="53" t="s">
        <v>81</v>
      </c>
      <c r="B9" s="51"/>
      <c r="C9" s="34"/>
      <c r="D9" s="27"/>
      <c r="E9" s="34"/>
      <c r="F9" s="35"/>
      <c r="G9" s="35"/>
      <c r="H9" s="35"/>
    </row>
    <row r="10" spans="1:8" x14ac:dyDescent="0.25">
      <c r="A10" s="34" t="s">
        <v>71</v>
      </c>
      <c r="B10" s="34">
        <f>'Capital Account'!B17</f>
        <v>0</v>
      </c>
      <c r="C10" s="34">
        <f>'Capital Account'!C17</f>
        <v>0</v>
      </c>
      <c r="D10" s="34">
        <f>'Capital Account'!D17</f>
        <v>0</v>
      </c>
      <c r="E10" s="34">
        <f>'Capital Account'!E17</f>
        <v>0</v>
      </c>
      <c r="F10" s="34">
        <f>'Capital Account'!F17</f>
        <v>0</v>
      </c>
      <c r="G10" s="34">
        <f>'Capital Account'!G17</f>
        <v>0</v>
      </c>
      <c r="H10" s="34">
        <f>'Capital Account'!H17</f>
        <v>0</v>
      </c>
    </row>
    <row r="11" spans="1:8" x14ac:dyDescent="0.25">
      <c r="A11" s="34" t="s">
        <v>163</v>
      </c>
      <c r="B11" s="34">
        <v>0</v>
      </c>
      <c r="C11" s="34">
        <v>0</v>
      </c>
      <c r="D11" s="27">
        <v>0</v>
      </c>
      <c r="E11" s="34">
        <v>0</v>
      </c>
      <c r="F11" s="35">
        <v>0</v>
      </c>
      <c r="G11" s="35">
        <v>0</v>
      </c>
      <c r="H11" s="35">
        <v>0</v>
      </c>
    </row>
    <row r="12" spans="1:8" x14ac:dyDescent="0.25">
      <c r="A12" s="34" t="s">
        <v>164</v>
      </c>
      <c r="B12" s="34">
        <v>0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</row>
    <row r="13" spans="1:8" x14ac:dyDescent="0.25">
      <c r="A13" s="34"/>
      <c r="B13" s="43"/>
      <c r="C13" s="43"/>
      <c r="D13" s="27"/>
      <c r="E13" s="43"/>
      <c r="F13" s="35"/>
      <c r="G13" s="35"/>
      <c r="H13" s="35"/>
    </row>
    <row r="14" spans="1:8" x14ac:dyDescent="0.25">
      <c r="A14" s="34" t="s">
        <v>55</v>
      </c>
      <c r="B14" s="188">
        <f t="shared" ref="B14:H14" si="0">SUM(B10:B12)</f>
        <v>0</v>
      </c>
      <c r="C14" s="188">
        <f t="shared" si="0"/>
        <v>0</v>
      </c>
      <c r="D14" s="188">
        <f t="shared" si="0"/>
        <v>0</v>
      </c>
      <c r="E14" s="188">
        <f t="shared" si="0"/>
        <v>0</v>
      </c>
      <c r="F14" s="188">
        <f t="shared" si="0"/>
        <v>0</v>
      </c>
      <c r="G14" s="188">
        <f t="shared" si="0"/>
        <v>0</v>
      </c>
      <c r="H14" s="188">
        <f t="shared" si="0"/>
        <v>0</v>
      </c>
    </row>
    <row r="15" spans="1:8" x14ac:dyDescent="0.25">
      <c r="A15" s="34"/>
      <c r="B15" s="34"/>
      <c r="C15" s="34"/>
      <c r="D15" s="27"/>
      <c r="E15" s="34"/>
      <c r="F15" s="35"/>
      <c r="G15" s="35"/>
      <c r="H15" s="35"/>
    </row>
    <row r="16" spans="1:8" x14ac:dyDescent="0.25">
      <c r="A16" s="34"/>
      <c r="B16" s="34"/>
      <c r="C16" s="34"/>
      <c r="D16" s="27"/>
      <c r="E16" s="38"/>
      <c r="F16" s="34"/>
      <c r="G16" s="34"/>
      <c r="H16" s="34"/>
    </row>
    <row r="17" spans="1:8" x14ac:dyDescent="0.25">
      <c r="A17" s="53" t="s">
        <v>82</v>
      </c>
      <c r="B17" s="34"/>
      <c r="C17" s="34"/>
      <c r="D17" s="27"/>
      <c r="E17" s="34"/>
      <c r="F17" s="35"/>
      <c r="G17" s="35"/>
      <c r="H17" s="35"/>
    </row>
    <row r="18" spans="1:8" x14ac:dyDescent="0.25">
      <c r="A18" s="34" t="s">
        <v>105</v>
      </c>
      <c r="B18" s="34">
        <f>Depr.!B23</f>
        <v>0</v>
      </c>
      <c r="C18" s="34">
        <f>Depr.!C23</f>
        <v>0</v>
      </c>
      <c r="D18" s="34">
        <f>Depr.!D23</f>
        <v>0</v>
      </c>
      <c r="E18" s="34">
        <f>Depr.!E23</f>
        <v>0</v>
      </c>
      <c r="F18" s="34">
        <f>Depr.!F23</f>
        <v>0</v>
      </c>
      <c r="G18" s="34">
        <f>Depr.!G23</f>
        <v>0</v>
      </c>
      <c r="H18" s="34">
        <f>Depr.!H23</f>
        <v>0</v>
      </c>
    </row>
    <row r="19" spans="1:8" x14ac:dyDescent="0.25">
      <c r="A19" s="34" t="s">
        <v>107</v>
      </c>
      <c r="B19" s="34">
        <v>0</v>
      </c>
      <c r="C19" s="27">
        <v>0</v>
      </c>
      <c r="D19" s="34">
        <v>0</v>
      </c>
      <c r="E19" s="27">
        <v>0</v>
      </c>
      <c r="F19" s="34">
        <v>0</v>
      </c>
      <c r="G19" s="34">
        <v>0</v>
      </c>
      <c r="H19" s="34">
        <v>0</v>
      </c>
    </row>
    <row r="20" spans="1:8" x14ac:dyDescent="0.25">
      <c r="A20" s="87" t="s">
        <v>108</v>
      </c>
      <c r="B20" s="34">
        <f>profit!B25</f>
        <v>0</v>
      </c>
      <c r="C20" s="34">
        <f>profit!C25</f>
        <v>0</v>
      </c>
      <c r="D20" s="34">
        <f>profit!D25</f>
        <v>0</v>
      </c>
      <c r="E20" s="34">
        <f>profit!E25</f>
        <v>0</v>
      </c>
      <c r="F20" s="34">
        <f>profit!F25</f>
        <v>0</v>
      </c>
      <c r="G20" s="34">
        <f>profit!G25</f>
        <v>0</v>
      </c>
      <c r="H20" s="34">
        <f>profit!H25</f>
        <v>0</v>
      </c>
    </row>
    <row r="21" spans="1:8" x14ac:dyDescent="0.25">
      <c r="A21" s="34" t="s">
        <v>106</v>
      </c>
      <c r="B21" s="38">
        <f>B23-SUM(B18:B20)</f>
        <v>0</v>
      </c>
      <c r="C21" s="38">
        <f>C23-SUM(C18:C20)</f>
        <v>0</v>
      </c>
      <c r="D21" s="38">
        <f>D23-SUM(D18:D20)</f>
        <v>0</v>
      </c>
      <c r="E21" s="38">
        <f>E23-SUM(E18:E20)</f>
        <v>0</v>
      </c>
      <c r="F21" s="38">
        <f>F23-SUM(F18:F20)</f>
        <v>0</v>
      </c>
      <c r="G21" s="38">
        <f t="shared" ref="G21:H21" si="1">G23-SUM(G18:G20)</f>
        <v>0</v>
      </c>
      <c r="H21" s="34">
        <f t="shared" si="1"/>
        <v>0</v>
      </c>
    </row>
    <row r="22" spans="1:8" x14ac:dyDescent="0.25">
      <c r="A22" s="43" t="s">
        <v>49</v>
      </c>
      <c r="B22" s="43"/>
      <c r="C22" s="43"/>
      <c r="D22" s="52"/>
      <c r="E22" s="43"/>
      <c r="F22" s="39"/>
      <c r="G22" s="39"/>
      <c r="H22" s="39"/>
    </row>
    <row r="23" spans="1:8" x14ac:dyDescent="0.25">
      <c r="A23" s="113" t="s">
        <v>14</v>
      </c>
      <c r="B23" s="189">
        <f>B14</f>
        <v>0</v>
      </c>
      <c r="C23" s="189">
        <f>C14</f>
        <v>0</v>
      </c>
      <c r="D23" s="189">
        <f>D14</f>
        <v>0</v>
      </c>
      <c r="E23" s="189">
        <f>E14</f>
        <v>0</v>
      </c>
      <c r="F23" s="189">
        <f>F14</f>
        <v>0</v>
      </c>
      <c r="G23" s="189">
        <f t="shared" ref="G23:H23" si="2">G14</f>
        <v>0</v>
      </c>
      <c r="H23" s="189">
        <f t="shared" si="2"/>
        <v>0</v>
      </c>
    </row>
  </sheetData>
  <mergeCells count="2">
    <mergeCell ref="A6:A7"/>
    <mergeCell ref="B6:H6"/>
  </mergeCells>
  <phoneticPr fontId="0" type="noConversion"/>
  <printOptions horizontalCentered="1"/>
  <pageMargins left="0" right="0" top="0.6692913385826772" bottom="1.8897637795275593" header="0.51181102362204722" footer="0.51181102362204722"/>
  <pageSetup scale="87" orientation="portrait" horizontalDpi="4294967293" verticalDpi="144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3"/>
  <sheetViews>
    <sheetView topLeftCell="A13" zoomScaleNormal="100" workbookViewId="0">
      <selection activeCell="C20" sqref="C20"/>
    </sheetView>
  </sheetViews>
  <sheetFormatPr defaultRowHeight="15" x14ac:dyDescent="0.25"/>
  <cols>
    <col min="1" max="1" width="28" style="95" customWidth="1"/>
    <col min="2" max="8" width="14" style="95" customWidth="1"/>
    <col min="9" max="10" width="9.140625" style="95"/>
    <col min="11" max="11" width="10.5703125" style="95" bestFit="1" customWidth="1"/>
    <col min="12" max="16384" width="9.140625" style="95"/>
  </cols>
  <sheetData>
    <row r="1" spans="1:8" x14ac:dyDescent="0.25">
      <c r="A1" s="94" t="str">
        <f>B.sheet!A1</f>
        <v>Malan Food Products Pvt Ltd</v>
      </c>
    </row>
    <row r="2" spans="1:8" x14ac:dyDescent="0.25">
      <c r="A2" s="94" t="s">
        <v>48</v>
      </c>
    </row>
    <row r="3" spans="1:8" x14ac:dyDescent="0.25">
      <c r="A3" s="94"/>
    </row>
    <row r="4" spans="1:8" x14ac:dyDescent="0.25">
      <c r="A4" s="94" t="s">
        <v>5</v>
      </c>
    </row>
    <row r="5" spans="1:8" x14ac:dyDescent="0.25">
      <c r="A5" s="96"/>
      <c r="B5" s="97"/>
    </row>
    <row r="6" spans="1:8" x14ac:dyDescent="0.25">
      <c r="A6" s="231" t="s">
        <v>1</v>
      </c>
      <c r="B6" s="228" t="s">
        <v>75</v>
      </c>
      <c r="C6" s="229"/>
      <c r="D6" s="229"/>
      <c r="E6" s="229"/>
      <c r="F6" s="229"/>
      <c r="G6" s="229"/>
      <c r="H6" s="230"/>
    </row>
    <row r="7" spans="1:8" s="98" customFormat="1" x14ac:dyDescent="0.25">
      <c r="A7" s="232"/>
      <c r="B7" s="202">
        <v>1</v>
      </c>
      <c r="C7" s="203">
        <v>2</v>
      </c>
      <c r="D7" s="204">
        <v>3</v>
      </c>
      <c r="E7" s="203">
        <v>4</v>
      </c>
      <c r="F7" s="205">
        <v>5</v>
      </c>
      <c r="G7" s="205">
        <v>6</v>
      </c>
      <c r="H7" s="205">
        <v>7</v>
      </c>
    </row>
    <row r="8" spans="1:8" x14ac:dyDescent="0.25">
      <c r="A8" s="99" t="s">
        <v>83</v>
      </c>
      <c r="B8" s="100"/>
      <c r="C8" s="101"/>
      <c r="D8" s="97"/>
      <c r="E8" s="101"/>
      <c r="F8" s="102"/>
      <c r="G8" s="102"/>
      <c r="H8" s="102"/>
    </row>
    <row r="9" spans="1:8" x14ac:dyDescent="0.25">
      <c r="A9" s="101" t="s">
        <v>6</v>
      </c>
      <c r="B9" s="103">
        <f>profit!B35</f>
        <v>0</v>
      </c>
      <c r="C9" s="103">
        <f>profit!C35</f>
        <v>0</v>
      </c>
      <c r="D9" s="103">
        <f>profit!D35</f>
        <v>0</v>
      </c>
      <c r="E9" s="103">
        <f>profit!E35</f>
        <v>0</v>
      </c>
      <c r="F9" s="105">
        <f>profit!F35</f>
        <v>0</v>
      </c>
      <c r="G9" s="105">
        <f>profit!G35</f>
        <v>0</v>
      </c>
      <c r="H9" s="105">
        <f>profit!H35</f>
        <v>0</v>
      </c>
    </row>
    <row r="10" spans="1:8" x14ac:dyDescent="0.25">
      <c r="A10" s="101" t="s">
        <v>7</v>
      </c>
      <c r="B10" s="103">
        <f>profit!B15</f>
        <v>0</v>
      </c>
      <c r="C10" s="101">
        <f>+profit!C15</f>
        <v>0</v>
      </c>
      <c r="D10" s="101">
        <f>+profit!D15</f>
        <v>0</v>
      </c>
      <c r="E10" s="101">
        <f>+profit!E15</f>
        <v>0</v>
      </c>
      <c r="F10" s="101">
        <f>+profit!F15</f>
        <v>0</v>
      </c>
      <c r="G10" s="101">
        <f>+profit!G15</f>
        <v>0</v>
      </c>
      <c r="H10" s="101">
        <f>+profit!H15</f>
        <v>0</v>
      </c>
    </row>
    <row r="11" spans="1:8" x14ac:dyDescent="0.25">
      <c r="A11" s="101" t="s">
        <v>210</v>
      </c>
      <c r="B11" s="103">
        <f>Cost!C25+Cost!C26</f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</row>
    <row r="12" spans="1:8" x14ac:dyDescent="0.25">
      <c r="A12" s="101" t="s">
        <v>129</v>
      </c>
      <c r="B12" s="100">
        <f>profit!B33</f>
        <v>0</v>
      </c>
      <c r="C12" s="100">
        <f>profit!C33</f>
        <v>0</v>
      </c>
      <c r="D12" s="100">
        <f>profit!D33</f>
        <v>0</v>
      </c>
      <c r="E12" s="100">
        <f>profit!E33</f>
        <v>0</v>
      </c>
      <c r="F12" s="101">
        <f>profit!F33</f>
        <v>0</v>
      </c>
      <c r="G12" s="101">
        <f>profit!G33</f>
        <v>0</v>
      </c>
      <c r="H12" s="101">
        <f>profit!H33</f>
        <v>0</v>
      </c>
    </row>
    <row r="13" spans="1:8" x14ac:dyDescent="0.25">
      <c r="A13" s="101"/>
      <c r="B13" s="100"/>
      <c r="C13" s="101"/>
      <c r="D13" s="101"/>
      <c r="E13" s="101"/>
      <c r="F13" s="101"/>
      <c r="G13" s="101"/>
      <c r="H13" s="101"/>
    </row>
    <row r="14" spans="1:8" x14ac:dyDescent="0.25">
      <c r="A14" s="100" t="s">
        <v>9</v>
      </c>
      <c r="B14" s="188">
        <f>SUM(B9:B13)</f>
        <v>0</v>
      </c>
      <c r="C14" s="188">
        <f>SUM(C9:C13)</f>
        <v>0</v>
      </c>
      <c r="D14" s="190">
        <f>SUM(D9:D13)</f>
        <v>0</v>
      </c>
      <c r="E14" s="188">
        <f>SUM(E9:E13)</f>
        <v>0</v>
      </c>
      <c r="F14" s="191">
        <f>SUM(F9:F13)</f>
        <v>0</v>
      </c>
      <c r="G14" s="191">
        <f t="shared" ref="G14:H14" si="0">SUM(G9:G13)</f>
        <v>0</v>
      </c>
      <c r="H14" s="191">
        <f t="shared" si="0"/>
        <v>0</v>
      </c>
    </row>
    <row r="15" spans="1:8" x14ac:dyDescent="0.25">
      <c r="A15" s="101"/>
      <c r="B15" s="100"/>
      <c r="C15" s="104"/>
      <c r="D15" s="97"/>
      <c r="E15" s="101"/>
      <c r="F15" s="102"/>
      <c r="G15" s="102"/>
      <c r="H15" s="102"/>
    </row>
    <row r="16" spans="1:8" x14ac:dyDescent="0.25">
      <c r="A16" s="99" t="s">
        <v>84</v>
      </c>
      <c r="B16" s="100"/>
      <c r="C16" s="101"/>
      <c r="D16" s="97"/>
      <c r="E16" s="101"/>
      <c r="F16" s="102"/>
      <c r="G16" s="102"/>
      <c r="H16" s="102"/>
    </row>
    <row r="17" spans="1:8" x14ac:dyDescent="0.25">
      <c r="A17" s="101" t="s">
        <v>130</v>
      </c>
      <c r="B17" s="100">
        <f>Depr.!B14+Depr.!B20</f>
        <v>0</v>
      </c>
      <c r="C17" s="105">
        <f>Depr.!C20-Depr.!B20</f>
        <v>0</v>
      </c>
      <c r="D17" s="105">
        <f>Depr.!D20-Depr.!C20</f>
        <v>0</v>
      </c>
      <c r="E17" s="105">
        <f>Depr.!E20-Depr.!D20</f>
        <v>0</v>
      </c>
      <c r="F17" s="105">
        <f>Depr.!F20-Depr.!E20</f>
        <v>0</v>
      </c>
      <c r="G17" s="105">
        <f>Depr.!G20-Depr.!F20</f>
        <v>0</v>
      </c>
      <c r="H17" s="105">
        <f>Depr.!H20-Depr.!G20</f>
        <v>0</v>
      </c>
    </row>
    <row r="18" spans="1:8" x14ac:dyDescent="0.25">
      <c r="A18" s="101" t="s">
        <v>107</v>
      </c>
      <c r="B18" s="100">
        <f>B.sheet!B19</f>
        <v>0</v>
      </c>
      <c r="C18" s="100">
        <f>B.sheet!C19-B.sheet!B19</f>
        <v>0</v>
      </c>
      <c r="D18" s="100">
        <f>B.sheet!D19-B.sheet!C19</f>
        <v>0</v>
      </c>
      <c r="E18" s="100">
        <f>B.sheet!E19-B.sheet!D19</f>
        <v>0</v>
      </c>
      <c r="F18" s="101">
        <f>B.sheet!F19-B.sheet!E19</f>
        <v>0</v>
      </c>
      <c r="G18" s="101">
        <f>B.sheet!G19-B.sheet!F19</f>
        <v>0</v>
      </c>
      <c r="H18" s="101">
        <f>B.sheet!H19-B.sheet!G19</f>
        <v>0</v>
      </c>
    </row>
    <row r="19" spans="1:8" x14ac:dyDescent="0.25">
      <c r="A19" s="101" t="s">
        <v>68</v>
      </c>
      <c r="B19" s="103">
        <f>profit!B41</f>
        <v>0</v>
      </c>
      <c r="C19" s="103">
        <f>profit!C41</f>
        <v>0</v>
      </c>
      <c r="D19" s="103">
        <f>profit!D41</f>
        <v>0</v>
      </c>
      <c r="E19" s="103">
        <f>profit!E41</f>
        <v>0</v>
      </c>
      <c r="F19" s="105">
        <f>profit!F41</f>
        <v>0</v>
      </c>
      <c r="G19" s="105">
        <f>profit!G41</f>
        <v>0</v>
      </c>
      <c r="H19" s="105">
        <f>profit!H41</f>
        <v>0</v>
      </c>
    </row>
    <row r="20" spans="1:8" x14ac:dyDescent="0.25">
      <c r="A20" s="101" t="s">
        <v>109</v>
      </c>
      <c r="B20" s="103">
        <f>B.sheet!B20</f>
        <v>0</v>
      </c>
      <c r="C20" s="103">
        <f>B.sheet!C20-B.sheet!B20</f>
        <v>0</v>
      </c>
      <c r="D20" s="103">
        <f>B.sheet!D20-B.sheet!C20</f>
        <v>0</v>
      </c>
      <c r="E20" s="103">
        <f>B.sheet!E20-B.sheet!D20</f>
        <v>0</v>
      </c>
      <c r="F20" s="105">
        <f>B.sheet!F20-B.sheet!E20</f>
        <v>0</v>
      </c>
      <c r="G20" s="105">
        <f>B.sheet!G20-B.sheet!F20</f>
        <v>0</v>
      </c>
      <c r="H20" s="105">
        <f>B.sheet!H20-B.sheet!G20</f>
        <v>0</v>
      </c>
    </row>
    <row r="21" spans="1:8" x14ac:dyDescent="0.25">
      <c r="A21" s="101" t="s">
        <v>110</v>
      </c>
      <c r="B21" s="103">
        <f>'Capital Account'!B15</f>
        <v>0</v>
      </c>
      <c r="C21" s="103">
        <f>'Capital Account'!C15</f>
        <v>0</v>
      </c>
      <c r="D21" s="103">
        <f>'Capital Account'!D15</f>
        <v>0</v>
      </c>
      <c r="E21" s="103">
        <f>'Capital Account'!E15</f>
        <v>0</v>
      </c>
      <c r="F21" s="105">
        <f>'Capital Account'!F15</f>
        <v>0</v>
      </c>
      <c r="G21" s="105">
        <f>'Capital Account'!G15</f>
        <v>0</v>
      </c>
      <c r="H21" s="105">
        <f>'Capital Account'!H15</f>
        <v>0</v>
      </c>
    </row>
    <row r="22" spans="1:8" x14ac:dyDescent="0.25">
      <c r="A22" s="101" t="s">
        <v>49</v>
      </c>
      <c r="B22" s="100"/>
      <c r="C22" s="106"/>
      <c r="D22" s="97"/>
      <c r="E22" s="101"/>
      <c r="F22" s="102"/>
      <c r="G22" s="102"/>
      <c r="H22" s="102"/>
    </row>
    <row r="23" spans="1:8" x14ac:dyDescent="0.25">
      <c r="A23" s="101" t="s">
        <v>10</v>
      </c>
      <c r="B23" s="188">
        <f>SUM(B17:B21)</f>
        <v>0</v>
      </c>
      <c r="C23" s="188">
        <f>SUM(C17:C21)</f>
        <v>0</v>
      </c>
      <c r="D23" s="188">
        <f>SUM(D17:D21)</f>
        <v>0</v>
      </c>
      <c r="E23" s="188">
        <f>SUM(E17:E21)</f>
        <v>0</v>
      </c>
      <c r="F23" s="188">
        <f>SUM(F17:F21)</f>
        <v>0</v>
      </c>
      <c r="G23" s="188">
        <f t="shared" ref="G23:H23" si="1">SUM(G17:G21)</f>
        <v>0</v>
      </c>
      <c r="H23" s="188">
        <f t="shared" si="1"/>
        <v>0</v>
      </c>
    </row>
    <row r="24" spans="1:8" x14ac:dyDescent="0.25">
      <c r="A24" s="101"/>
      <c r="B24" s="100"/>
      <c r="C24" s="107"/>
      <c r="D24" s="107"/>
      <c r="E24" s="104"/>
      <c r="F24" s="102"/>
      <c r="G24" s="102"/>
      <c r="H24" s="102"/>
    </row>
    <row r="25" spans="1:8" x14ac:dyDescent="0.25">
      <c r="A25" s="101" t="s">
        <v>15</v>
      </c>
      <c r="B25" s="100"/>
      <c r="C25" s="100"/>
      <c r="D25" s="100"/>
      <c r="E25" s="100"/>
      <c r="F25" s="101"/>
      <c r="G25" s="101"/>
      <c r="H25" s="101"/>
    </row>
    <row r="26" spans="1:8" x14ac:dyDescent="0.25">
      <c r="A26" s="101" t="s">
        <v>11</v>
      </c>
      <c r="B26" s="100">
        <f>Cost!C24</f>
        <v>0</v>
      </c>
      <c r="C26" s="100">
        <f>B30</f>
        <v>0</v>
      </c>
      <c r="D26" s="100">
        <f>C30</f>
        <v>0</v>
      </c>
      <c r="E26" s="100">
        <f>D30</f>
        <v>0</v>
      </c>
      <c r="F26" s="101">
        <f>E30</f>
        <v>0</v>
      </c>
      <c r="G26" s="101">
        <f t="shared" ref="G26:H26" si="2">F30</f>
        <v>0</v>
      </c>
      <c r="H26" s="101">
        <f t="shared" si="2"/>
        <v>0</v>
      </c>
    </row>
    <row r="27" spans="1:8" x14ac:dyDescent="0.25">
      <c r="A27" s="101"/>
      <c r="B27" s="100"/>
      <c r="C27" s="100"/>
      <c r="D27" s="100" t="s">
        <v>8</v>
      </c>
      <c r="E27" s="100"/>
      <c r="F27" s="101"/>
      <c r="G27" s="101"/>
      <c r="H27" s="101"/>
    </row>
    <row r="28" spans="1:8" x14ac:dyDescent="0.25">
      <c r="A28" s="101" t="s">
        <v>12</v>
      </c>
      <c r="B28" s="100">
        <f>B14-B23</f>
        <v>0</v>
      </c>
      <c r="C28" s="100">
        <f>C14-C23</f>
        <v>0</v>
      </c>
      <c r="D28" s="100">
        <f>D14-D23</f>
        <v>0</v>
      </c>
      <c r="E28" s="100">
        <f>E14-E23</f>
        <v>0</v>
      </c>
      <c r="F28" s="101">
        <f>F14-F23</f>
        <v>0</v>
      </c>
      <c r="G28" s="101">
        <f t="shared" ref="G28:H28" si="3">G14-G23</f>
        <v>0</v>
      </c>
      <c r="H28" s="101">
        <f t="shared" si="3"/>
        <v>0</v>
      </c>
    </row>
    <row r="29" spans="1:8" x14ac:dyDescent="0.25">
      <c r="A29" s="101"/>
      <c r="B29" s="100"/>
      <c r="C29" s="100"/>
      <c r="D29" s="100"/>
      <c r="E29" s="100"/>
      <c r="F29" s="101"/>
      <c r="G29" s="101"/>
      <c r="H29" s="101"/>
    </row>
    <row r="30" spans="1:8" x14ac:dyDescent="0.25">
      <c r="A30" s="101" t="s">
        <v>13</v>
      </c>
      <c r="B30" s="192">
        <f>B26+B28</f>
        <v>0</v>
      </c>
      <c r="C30" s="192">
        <f>C26+C28</f>
        <v>0</v>
      </c>
      <c r="D30" s="192">
        <f>D26+D28</f>
        <v>0</v>
      </c>
      <c r="E30" s="192">
        <f>E26+E28</f>
        <v>0</v>
      </c>
      <c r="F30" s="188">
        <f>F26+F28</f>
        <v>0</v>
      </c>
      <c r="G30" s="188">
        <f t="shared" ref="G30:H30" si="4">G26+G28</f>
        <v>0</v>
      </c>
      <c r="H30" s="188">
        <f t="shared" si="4"/>
        <v>0</v>
      </c>
    </row>
    <row r="31" spans="1:8" x14ac:dyDescent="0.25">
      <c r="A31" s="106"/>
      <c r="B31" s="108"/>
      <c r="C31" s="106"/>
      <c r="D31" s="109"/>
      <c r="E31" s="106"/>
      <c r="F31" s="110"/>
      <c r="G31" s="110"/>
      <c r="H31" s="110"/>
    </row>
    <row r="32" spans="1:8" x14ac:dyDescent="0.25">
      <c r="B32" s="111"/>
      <c r="C32" s="111"/>
      <c r="D32" s="111"/>
      <c r="E32" s="111"/>
      <c r="F32" s="111"/>
      <c r="G32" s="111"/>
      <c r="H32" s="111"/>
    </row>
    <row r="33" spans="16384:16384" x14ac:dyDescent="0.25">
      <c r="XFD33" s="95">
        <f>B.sheet!XFD21</f>
        <v>0</v>
      </c>
    </row>
  </sheetData>
  <mergeCells count="2">
    <mergeCell ref="A6:A7"/>
    <mergeCell ref="B6:H6"/>
  </mergeCells>
  <phoneticPr fontId="0" type="noConversion"/>
  <printOptions horizontalCentered="1" verticalCentered="1"/>
  <pageMargins left="0" right="0" top="0.51181102362204722" bottom="4.2125984251968509" header="0.35433070866141736" footer="0.51181102362204722"/>
  <pageSetup scale="96" orientation="portrait" horizontalDpi="4294967293" verticalDpi="14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A10" zoomScaleNormal="100" workbookViewId="0">
      <selection activeCell="I20" sqref="I20"/>
    </sheetView>
  </sheetViews>
  <sheetFormatPr defaultRowHeight="15" x14ac:dyDescent="0.25"/>
  <cols>
    <col min="1" max="1" width="25.42578125" style="2" customWidth="1"/>
    <col min="2" max="2" width="16.42578125" style="2" customWidth="1"/>
    <col min="3" max="8" width="17.28515625" style="2" customWidth="1"/>
    <col min="9" max="16384" width="9.140625" style="2"/>
  </cols>
  <sheetData>
    <row r="1" spans="1:8" x14ac:dyDescent="0.25">
      <c r="A1" s="222" t="str">
        <f>Cost!A1</f>
        <v>Malan Food Products Pvt Ltd</v>
      </c>
      <c r="B1" s="222"/>
      <c r="C1" s="222"/>
      <c r="D1" s="222"/>
      <c r="E1" s="222"/>
      <c r="F1" s="222"/>
    </row>
    <row r="2" spans="1:8" x14ac:dyDescent="0.25">
      <c r="A2" s="223" t="str">
        <f>Cost!A2</f>
        <v>Rudreswar, Parbatkash</v>
      </c>
      <c r="B2" s="223"/>
      <c r="C2" s="223"/>
      <c r="D2" s="223"/>
      <c r="E2" s="223"/>
      <c r="F2" s="223"/>
    </row>
    <row r="3" spans="1:8" x14ac:dyDescent="0.25">
      <c r="A3" s="79"/>
      <c r="B3" s="79"/>
      <c r="C3" s="79"/>
      <c r="D3" s="79"/>
      <c r="E3" s="79"/>
      <c r="F3" s="79"/>
      <c r="G3" s="114"/>
      <c r="H3" s="114"/>
    </row>
    <row r="6" spans="1:8" x14ac:dyDescent="0.25">
      <c r="A6" s="1" t="s">
        <v>58</v>
      </c>
      <c r="B6" s="1"/>
    </row>
    <row r="8" spans="1:8" x14ac:dyDescent="0.25">
      <c r="A8" s="1" t="s">
        <v>40</v>
      </c>
      <c r="B8" s="77"/>
      <c r="C8" s="19"/>
    </row>
    <row r="9" spans="1:8" x14ac:dyDescent="0.25">
      <c r="A9" s="212" t="s">
        <v>1</v>
      </c>
      <c r="B9" s="225" t="s">
        <v>76</v>
      </c>
      <c r="C9" s="219"/>
      <c r="D9" s="219"/>
      <c r="E9" s="219"/>
      <c r="F9" s="219"/>
      <c r="G9" s="219"/>
      <c r="H9" s="220"/>
    </row>
    <row r="10" spans="1:8" x14ac:dyDescent="0.25">
      <c r="A10" s="213"/>
      <c r="B10" s="206">
        <v>1</v>
      </c>
      <c r="C10" s="206">
        <v>2</v>
      </c>
      <c r="D10" s="207">
        <v>3</v>
      </c>
      <c r="E10" s="206">
        <v>4</v>
      </c>
      <c r="F10" s="198">
        <v>5</v>
      </c>
      <c r="G10" s="198">
        <v>6</v>
      </c>
      <c r="H10" s="198">
        <v>7</v>
      </c>
    </row>
    <row r="11" spans="1:8" x14ac:dyDescent="0.25">
      <c r="A11" s="20"/>
      <c r="B11" s="15"/>
      <c r="C11" s="46"/>
      <c r="D11" s="8"/>
      <c r="E11" s="42"/>
      <c r="F11" s="15"/>
      <c r="G11" s="15"/>
      <c r="H11" s="15"/>
    </row>
    <row r="12" spans="1:8" x14ac:dyDescent="0.25">
      <c r="A12" s="20" t="s">
        <v>151</v>
      </c>
      <c r="B12" s="15"/>
      <c r="C12" s="46"/>
      <c r="D12" s="8"/>
      <c r="E12" s="42"/>
      <c r="F12" s="15"/>
      <c r="G12" s="15"/>
      <c r="H12" s="15"/>
    </row>
    <row r="13" spans="1:8" x14ac:dyDescent="0.25">
      <c r="A13" s="20" t="s">
        <v>143</v>
      </c>
      <c r="B13" s="34">
        <v>0</v>
      </c>
      <c r="C13" s="46">
        <f t="shared" ref="C13:H13" si="0">B18</f>
        <v>0</v>
      </c>
      <c r="D13" s="46">
        <f t="shared" si="0"/>
        <v>0</v>
      </c>
      <c r="E13" s="46">
        <f t="shared" si="0"/>
        <v>0</v>
      </c>
      <c r="F13" s="46">
        <f t="shared" si="0"/>
        <v>0</v>
      </c>
      <c r="G13" s="46">
        <f t="shared" si="0"/>
        <v>0</v>
      </c>
      <c r="H13" s="46">
        <f t="shared" si="0"/>
        <v>0</v>
      </c>
    </row>
    <row r="14" spans="1:8" x14ac:dyDescent="0.25">
      <c r="A14" s="20" t="s">
        <v>162</v>
      </c>
      <c r="B14" s="116">
        <f>'PROJECT AT GLANCE'!E18</f>
        <v>0</v>
      </c>
      <c r="C14" s="121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</row>
    <row r="15" spans="1:8" x14ac:dyDescent="0.25">
      <c r="A15" s="20" t="s">
        <v>144</v>
      </c>
      <c r="B15" s="15">
        <f t="shared" ref="B15:H15" si="1">SUM(B12:B14)</f>
        <v>0</v>
      </c>
      <c r="C15" s="15">
        <f t="shared" si="1"/>
        <v>0</v>
      </c>
      <c r="D15" s="15">
        <f t="shared" si="1"/>
        <v>0</v>
      </c>
      <c r="E15" s="15">
        <f t="shared" si="1"/>
        <v>0</v>
      </c>
      <c r="F15" s="15">
        <f t="shared" si="1"/>
        <v>0</v>
      </c>
      <c r="G15" s="15">
        <f t="shared" si="1"/>
        <v>0</v>
      </c>
      <c r="H15" s="15">
        <f t="shared" si="1"/>
        <v>0</v>
      </c>
    </row>
    <row r="16" spans="1:8" ht="5.0999999999999996" customHeight="1" x14ac:dyDescent="0.25">
      <c r="A16" s="20"/>
      <c r="B16" s="15"/>
      <c r="C16" s="15"/>
      <c r="D16" s="15"/>
      <c r="E16" s="15"/>
      <c r="F16" s="15"/>
      <c r="G16" s="15"/>
      <c r="H16" s="15"/>
    </row>
    <row r="17" spans="1:8" x14ac:dyDescent="0.25">
      <c r="A17" s="20" t="s">
        <v>145</v>
      </c>
      <c r="B17" s="116">
        <f t="shared" ref="B17:H17" si="2">ROUND(B15*15%,0)</f>
        <v>0</v>
      </c>
      <c r="C17" s="116">
        <f t="shared" si="2"/>
        <v>0</v>
      </c>
      <c r="D17" s="116">
        <f t="shared" si="2"/>
        <v>0</v>
      </c>
      <c r="E17" s="116">
        <f t="shared" si="2"/>
        <v>0</v>
      </c>
      <c r="F17" s="116">
        <f t="shared" si="2"/>
        <v>0</v>
      </c>
      <c r="G17" s="116">
        <f t="shared" si="2"/>
        <v>0</v>
      </c>
      <c r="H17" s="116">
        <f t="shared" si="2"/>
        <v>0</v>
      </c>
    </row>
    <row r="18" spans="1:8" s="1" customFormat="1" ht="15.75" thickBot="1" x14ac:dyDescent="0.3">
      <c r="A18" s="117" t="s">
        <v>146</v>
      </c>
      <c r="B18" s="193">
        <f t="shared" ref="B18:H18" si="3">B15-B17</f>
        <v>0</v>
      </c>
      <c r="C18" s="193">
        <f t="shared" si="3"/>
        <v>0</v>
      </c>
      <c r="D18" s="193">
        <f t="shared" si="3"/>
        <v>0</v>
      </c>
      <c r="E18" s="193">
        <f t="shared" si="3"/>
        <v>0</v>
      </c>
      <c r="F18" s="193">
        <f t="shared" si="3"/>
        <v>0</v>
      </c>
      <c r="G18" s="193">
        <f t="shared" si="3"/>
        <v>0</v>
      </c>
      <c r="H18" s="193">
        <f t="shared" si="3"/>
        <v>0</v>
      </c>
    </row>
    <row r="19" spans="1:8" ht="15.75" thickTop="1" x14ac:dyDescent="0.25">
      <c r="A19" s="20"/>
      <c r="B19" s="15"/>
      <c r="C19" s="46"/>
      <c r="D19" s="8"/>
      <c r="E19" s="42"/>
      <c r="F19" s="15"/>
      <c r="G19" s="15"/>
      <c r="H19" s="15"/>
    </row>
    <row r="20" spans="1:8" x14ac:dyDescent="0.25">
      <c r="A20" s="20" t="s">
        <v>160</v>
      </c>
      <c r="B20" s="15">
        <f>'PROJECT AT GLANCE'!E17</f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</row>
    <row r="21" spans="1:8" x14ac:dyDescent="0.25">
      <c r="A21" s="20"/>
      <c r="B21" s="15"/>
      <c r="C21" s="46"/>
      <c r="D21" s="8"/>
      <c r="E21" s="42"/>
      <c r="F21" s="15"/>
      <c r="G21" s="15"/>
      <c r="H21" s="15"/>
    </row>
    <row r="22" spans="1:8" x14ac:dyDescent="0.25">
      <c r="A22" s="41" t="s">
        <v>59</v>
      </c>
      <c r="B22" s="15"/>
      <c r="C22" s="46"/>
      <c r="D22" s="8"/>
      <c r="E22" s="42"/>
      <c r="F22" s="15"/>
      <c r="G22" s="15"/>
      <c r="H22" s="15"/>
    </row>
    <row r="23" spans="1:8" x14ac:dyDescent="0.25">
      <c r="A23" s="41" t="s">
        <v>72</v>
      </c>
      <c r="B23" s="194">
        <f>B18+B20</f>
        <v>0</v>
      </c>
      <c r="C23" s="194">
        <f t="shared" ref="C23:H23" si="4">C18+C20</f>
        <v>0</v>
      </c>
      <c r="D23" s="194">
        <f t="shared" si="4"/>
        <v>0</v>
      </c>
      <c r="E23" s="194">
        <f t="shared" si="4"/>
        <v>0</v>
      </c>
      <c r="F23" s="194">
        <f t="shared" si="4"/>
        <v>0</v>
      </c>
      <c r="G23" s="194">
        <f t="shared" si="4"/>
        <v>0</v>
      </c>
      <c r="H23" s="194">
        <f t="shared" si="4"/>
        <v>0</v>
      </c>
    </row>
    <row r="24" spans="1:8" x14ac:dyDescent="0.25">
      <c r="A24" s="41"/>
      <c r="B24" s="15"/>
      <c r="C24" s="15"/>
      <c r="D24" s="8"/>
      <c r="E24" s="15"/>
      <c r="F24" s="46"/>
      <c r="G24" s="46"/>
      <c r="H24" s="46"/>
    </row>
    <row r="25" spans="1:8" x14ac:dyDescent="0.25">
      <c r="A25" s="20" t="s">
        <v>47</v>
      </c>
      <c r="B25" s="15"/>
      <c r="C25" s="15"/>
      <c r="D25" s="8"/>
      <c r="E25" s="15"/>
      <c r="F25" s="46"/>
      <c r="G25" s="46"/>
      <c r="H25" s="46"/>
    </row>
    <row r="26" spans="1:8" x14ac:dyDescent="0.25">
      <c r="A26" s="36" t="s">
        <v>72</v>
      </c>
      <c r="B26" s="194">
        <f>B17</f>
        <v>0</v>
      </c>
      <c r="C26" s="194">
        <f>C17</f>
        <v>0</v>
      </c>
      <c r="D26" s="194">
        <f t="shared" ref="D26:F26" si="5">D17</f>
        <v>0</v>
      </c>
      <c r="E26" s="194">
        <f>E17</f>
        <v>0</v>
      </c>
      <c r="F26" s="194">
        <f t="shared" si="5"/>
        <v>0</v>
      </c>
      <c r="G26" s="194">
        <f t="shared" ref="G26:H26" si="6">G17</f>
        <v>0</v>
      </c>
      <c r="H26" s="194">
        <f t="shared" si="6"/>
        <v>0</v>
      </c>
    </row>
  </sheetData>
  <mergeCells count="4">
    <mergeCell ref="A1:F1"/>
    <mergeCell ref="A2:F2"/>
    <mergeCell ref="A9:A10"/>
    <mergeCell ref="B9:H9"/>
  </mergeCells>
  <phoneticPr fontId="0" type="noConversion"/>
  <printOptions horizontalCentered="1"/>
  <pageMargins left="0" right="0" top="0.59055118110236227" bottom="2.9921259842519685" header="0.51181102362204722" footer="0.51181102362204722"/>
  <pageSetup scale="88" orientation="portrait" horizontalDpi="4294967293" verticalDpi="144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zoomScaleNormal="100" workbookViewId="0">
      <selection activeCell="I15" sqref="I15"/>
    </sheetView>
  </sheetViews>
  <sheetFormatPr defaultRowHeight="15" x14ac:dyDescent="0.25"/>
  <cols>
    <col min="1" max="1" width="25.7109375" style="48" customWidth="1"/>
    <col min="2" max="8" width="14" style="48" customWidth="1"/>
    <col min="9" max="16384" width="9.140625" style="48"/>
  </cols>
  <sheetData>
    <row r="1" spans="1:8" x14ac:dyDescent="0.25">
      <c r="A1" s="47" t="str">
        <f>Depr.!A1</f>
        <v>Malan Food Products Pvt Ltd</v>
      </c>
    </row>
    <row r="2" spans="1:8" x14ac:dyDescent="0.25">
      <c r="A2" s="88" t="s">
        <v>132</v>
      </c>
      <c r="B2" s="47"/>
    </row>
    <row r="3" spans="1:8" x14ac:dyDescent="0.25">
      <c r="A3" s="88"/>
      <c r="B3" s="47"/>
    </row>
    <row r="4" spans="1:8" x14ac:dyDescent="0.25">
      <c r="A4" s="88" t="s">
        <v>100</v>
      </c>
      <c r="B4" s="47"/>
    </row>
    <row r="5" spans="1:8" x14ac:dyDescent="0.25">
      <c r="A5" s="89"/>
      <c r="B5" s="49"/>
    </row>
    <row r="6" spans="1:8" x14ac:dyDescent="0.25">
      <c r="A6" s="226" t="s">
        <v>1</v>
      </c>
      <c r="B6" s="228" t="s">
        <v>75</v>
      </c>
      <c r="C6" s="229"/>
      <c r="D6" s="229"/>
      <c r="E6" s="229"/>
      <c r="F6" s="229"/>
      <c r="G6" s="229"/>
      <c r="H6" s="230"/>
    </row>
    <row r="7" spans="1:8" s="50" customFormat="1" x14ac:dyDescent="0.25">
      <c r="A7" s="227"/>
      <c r="B7" s="200">
        <v>1</v>
      </c>
      <c r="C7" s="201">
        <v>2</v>
      </c>
      <c r="D7" s="201">
        <v>3</v>
      </c>
      <c r="E7" s="201">
        <v>4</v>
      </c>
      <c r="F7" s="201">
        <v>5</v>
      </c>
      <c r="G7" s="201">
        <v>6</v>
      </c>
      <c r="H7" s="201">
        <v>7</v>
      </c>
    </row>
    <row r="8" spans="1:8" x14ac:dyDescent="0.25">
      <c r="A8" s="38"/>
      <c r="B8" s="38"/>
      <c r="C8" s="33"/>
      <c r="D8" s="27"/>
      <c r="E8" s="33"/>
      <c r="F8" s="35"/>
      <c r="G8" s="35"/>
      <c r="H8" s="35"/>
    </row>
    <row r="9" spans="1:8" x14ac:dyDescent="0.25">
      <c r="A9" s="53" t="s">
        <v>101</v>
      </c>
      <c r="B9" s="51"/>
      <c r="C9" s="34"/>
      <c r="D9" s="27"/>
      <c r="E9" s="34"/>
      <c r="F9" s="35"/>
      <c r="G9" s="35"/>
      <c r="H9" s="35"/>
    </row>
    <row r="10" spans="1:8" x14ac:dyDescent="0.25">
      <c r="A10" s="34" t="s">
        <v>71</v>
      </c>
      <c r="B10" s="34">
        <f>Cost!C24</f>
        <v>0</v>
      </c>
      <c r="C10" s="34">
        <f>B17</f>
        <v>0</v>
      </c>
      <c r="D10" s="34">
        <f>C17</f>
        <v>0</v>
      </c>
      <c r="E10" s="34">
        <f>D17</f>
        <v>0</v>
      </c>
      <c r="F10" s="34">
        <f>E17</f>
        <v>0</v>
      </c>
      <c r="G10" s="34">
        <f t="shared" ref="G10:H10" si="0">F17</f>
        <v>0</v>
      </c>
      <c r="H10" s="34">
        <f t="shared" si="0"/>
        <v>0</v>
      </c>
    </row>
    <row r="11" spans="1:8" x14ac:dyDescent="0.25">
      <c r="A11" s="34" t="s">
        <v>102</v>
      </c>
      <c r="B11" s="34">
        <f>profit!B31</f>
        <v>0</v>
      </c>
      <c r="C11" s="34">
        <f>profit!C31</f>
        <v>0</v>
      </c>
      <c r="D11" s="34">
        <f>profit!D31</f>
        <v>0</v>
      </c>
      <c r="E11" s="34">
        <f>profit!E31</f>
        <v>0</v>
      </c>
      <c r="F11" s="34">
        <f>profit!F31</f>
        <v>0</v>
      </c>
      <c r="G11" s="34">
        <f>profit!G31</f>
        <v>0</v>
      </c>
      <c r="H11" s="34">
        <f>profit!H31</f>
        <v>0</v>
      </c>
    </row>
    <row r="12" spans="1:8" x14ac:dyDescent="0.25">
      <c r="A12" s="34"/>
      <c r="B12" s="43"/>
      <c r="C12" s="43"/>
      <c r="D12" s="27"/>
      <c r="E12" s="43"/>
      <c r="F12" s="35"/>
      <c r="G12" s="35"/>
      <c r="H12" s="35"/>
    </row>
    <row r="13" spans="1:8" x14ac:dyDescent="0.25">
      <c r="A13" s="34" t="s">
        <v>55</v>
      </c>
      <c r="B13" s="188">
        <f>SUM(B10:B12)</f>
        <v>0</v>
      </c>
      <c r="C13" s="188">
        <f>SUM(C10:C12)</f>
        <v>0</v>
      </c>
      <c r="D13" s="188">
        <f>SUM(D10:D12)</f>
        <v>0</v>
      </c>
      <c r="E13" s="188">
        <f>SUM(E10:E12)</f>
        <v>0</v>
      </c>
      <c r="F13" s="188">
        <f>SUM(F10:F12)</f>
        <v>0</v>
      </c>
      <c r="G13" s="188">
        <f t="shared" ref="G13:H13" si="1">SUM(G10:G12)</f>
        <v>0</v>
      </c>
      <c r="H13" s="188">
        <f t="shared" si="1"/>
        <v>0</v>
      </c>
    </row>
    <row r="14" spans="1:8" x14ac:dyDescent="0.25">
      <c r="A14" s="34"/>
      <c r="B14" s="34"/>
      <c r="C14" s="34"/>
      <c r="D14" s="27"/>
      <c r="E14" s="34"/>
      <c r="F14" s="35"/>
      <c r="G14" s="35"/>
      <c r="H14" s="35"/>
    </row>
    <row r="15" spans="1:8" x14ac:dyDescent="0.25">
      <c r="A15" s="34" t="s">
        <v>103</v>
      </c>
      <c r="B15" s="34">
        <v>0</v>
      </c>
      <c r="C15" s="34">
        <v>0</v>
      </c>
      <c r="D15" s="27">
        <v>0</v>
      </c>
      <c r="E15" s="34">
        <v>0</v>
      </c>
      <c r="F15" s="35">
        <v>0</v>
      </c>
      <c r="G15" s="35">
        <v>0</v>
      </c>
      <c r="H15" s="35">
        <v>0</v>
      </c>
    </row>
    <row r="16" spans="1:8" x14ac:dyDescent="0.25">
      <c r="A16" s="43" t="s">
        <v>49</v>
      </c>
      <c r="B16" s="43"/>
      <c r="C16" s="43"/>
      <c r="D16" s="52"/>
      <c r="E16" s="43"/>
      <c r="F16" s="39"/>
      <c r="G16" s="39"/>
      <c r="H16" s="39"/>
    </row>
    <row r="17" spans="1:8" x14ac:dyDescent="0.25">
      <c r="A17" s="43" t="s">
        <v>104</v>
      </c>
      <c r="B17" s="189">
        <f>B13-B15</f>
        <v>0</v>
      </c>
      <c r="C17" s="189">
        <f>C13-C15</f>
        <v>0</v>
      </c>
      <c r="D17" s="189">
        <f>D13-D15</f>
        <v>0</v>
      </c>
      <c r="E17" s="189">
        <f>E13-E15</f>
        <v>0</v>
      </c>
      <c r="F17" s="189">
        <f>F13-F15</f>
        <v>0</v>
      </c>
      <c r="G17" s="189">
        <f t="shared" ref="G17:H17" si="2">G13-G15</f>
        <v>0</v>
      </c>
      <c r="H17" s="189">
        <f t="shared" si="2"/>
        <v>0</v>
      </c>
    </row>
  </sheetData>
  <mergeCells count="2">
    <mergeCell ref="A6:A7"/>
    <mergeCell ref="B6:H6"/>
  </mergeCells>
  <pageMargins left="0" right="0" top="0.74803149606299213" bottom="0.74803149606299213" header="0.31496062992125984" footer="0.31496062992125984"/>
  <pageSetup paperSize="9" scale="86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zoomScaleNormal="100" workbookViewId="0">
      <selection activeCell="A5" sqref="A5:H6"/>
    </sheetView>
  </sheetViews>
  <sheetFormatPr defaultRowHeight="15" x14ac:dyDescent="0.25"/>
  <cols>
    <col min="1" max="1" width="38.7109375" style="132" customWidth="1"/>
    <col min="2" max="5" width="14.28515625" style="132" customWidth="1"/>
    <col min="6" max="8" width="15" style="132" customWidth="1"/>
    <col min="9" max="16384" width="9.140625" style="132"/>
  </cols>
  <sheetData>
    <row r="1" spans="1:8" x14ac:dyDescent="0.25">
      <c r="A1" s="131" t="str">
        <f>profit!A1</f>
        <v>Malan Food Products Pvt Ltd</v>
      </c>
    </row>
    <row r="2" spans="1:8" x14ac:dyDescent="0.25">
      <c r="A2" s="131" t="s">
        <v>193</v>
      </c>
    </row>
    <row r="4" spans="1:8" x14ac:dyDescent="0.25">
      <c r="A4" s="131" t="s">
        <v>194</v>
      </c>
      <c r="B4" s="133"/>
    </row>
    <row r="5" spans="1:8" x14ac:dyDescent="0.25">
      <c r="A5" s="212" t="s">
        <v>28</v>
      </c>
      <c r="B5" s="225" t="s">
        <v>195</v>
      </c>
      <c r="C5" s="219"/>
      <c r="D5" s="219"/>
      <c r="E5" s="219"/>
      <c r="F5" s="219"/>
      <c r="G5" s="219"/>
      <c r="H5" s="220"/>
    </row>
    <row r="6" spans="1:8" x14ac:dyDescent="0.25">
      <c r="A6" s="213"/>
      <c r="B6" s="206">
        <v>1</v>
      </c>
      <c r="C6" s="208">
        <v>2</v>
      </c>
      <c r="D6" s="206">
        <v>3</v>
      </c>
      <c r="E6" s="198">
        <v>4</v>
      </c>
      <c r="F6" s="198">
        <v>5</v>
      </c>
      <c r="G6" s="198">
        <v>6</v>
      </c>
      <c r="H6" s="198">
        <v>7</v>
      </c>
    </row>
    <row r="7" spans="1:8" x14ac:dyDescent="0.25">
      <c r="A7" s="134" t="s">
        <v>196</v>
      </c>
      <c r="B7" s="135">
        <f>profit!B7</f>
        <v>0</v>
      </c>
      <c r="C7" s="135">
        <f>profit!C7</f>
        <v>0</v>
      </c>
      <c r="D7" s="135">
        <f>profit!D7</f>
        <v>0</v>
      </c>
      <c r="E7" s="135">
        <f>profit!E7</f>
        <v>0</v>
      </c>
      <c r="F7" s="135">
        <f>profit!F7</f>
        <v>0</v>
      </c>
      <c r="G7" s="135">
        <f>profit!G7</f>
        <v>0</v>
      </c>
      <c r="H7" s="150">
        <f>profit!H7</f>
        <v>0</v>
      </c>
    </row>
    <row r="8" spans="1:8" x14ac:dyDescent="0.25">
      <c r="A8" s="134"/>
      <c r="B8" s="136"/>
      <c r="C8" s="133"/>
      <c r="D8" s="136"/>
      <c r="E8" s="137"/>
      <c r="F8" s="136"/>
      <c r="G8" s="136"/>
      <c r="H8" s="136"/>
    </row>
    <row r="9" spans="1:8" x14ac:dyDescent="0.25">
      <c r="A9" s="134" t="s">
        <v>197</v>
      </c>
      <c r="B9" s="188">
        <f>profit!B16</f>
        <v>0</v>
      </c>
      <c r="C9" s="188">
        <f>profit!C16</f>
        <v>0</v>
      </c>
      <c r="D9" s="188">
        <f>profit!D16</f>
        <v>0</v>
      </c>
      <c r="E9" s="188">
        <f>profit!E16</f>
        <v>0</v>
      </c>
      <c r="F9" s="188">
        <f>profit!F16</f>
        <v>0</v>
      </c>
      <c r="G9" s="188">
        <f>profit!G16</f>
        <v>0</v>
      </c>
      <c r="H9" s="188">
        <f>profit!H16</f>
        <v>0</v>
      </c>
    </row>
    <row r="10" spans="1:8" x14ac:dyDescent="0.25">
      <c r="A10" s="134"/>
      <c r="B10" s="138"/>
      <c r="C10" s="139"/>
      <c r="D10" s="139"/>
      <c r="E10" s="140"/>
      <c r="F10" s="139"/>
      <c r="G10" s="139"/>
      <c r="H10" s="139"/>
    </row>
    <row r="11" spans="1:8" x14ac:dyDescent="0.25">
      <c r="A11" s="134"/>
      <c r="B11" s="136"/>
      <c r="C11" s="133"/>
      <c r="D11" s="136"/>
      <c r="E11" s="137"/>
      <c r="F11" s="136"/>
      <c r="G11" s="136"/>
      <c r="H11" s="136"/>
    </row>
    <row r="12" spans="1:8" x14ac:dyDescent="0.25">
      <c r="A12" s="134" t="s">
        <v>205</v>
      </c>
      <c r="B12" s="136"/>
      <c r="C12" s="133"/>
      <c r="D12" s="136"/>
      <c r="E12" s="137"/>
      <c r="F12" s="136"/>
      <c r="G12" s="136"/>
      <c r="H12" s="136"/>
    </row>
    <row r="13" spans="1:8" x14ac:dyDescent="0.25">
      <c r="A13" s="134" t="s">
        <v>2</v>
      </c>
      <c r="B13" s="141">
        <f>profit!B15</f>
        <v>0</v>
      </c>
      <c r="C13" s="141">
        <f>profit!C15</f>
        <v>0</v>
      </c>
      <c r="D13" s="141">
        <f>profit!D15</f>
        <v>0</v>
      </c>
      <c r="E13" s="141">
        <f>profit!E15</f>
        <v>0</v>
      </c>
      <c r="F13" s="141">
        <f>profit!F15</f>
        <v>0</v>
      </c>
      <c r="G13" s="141">
        <f>profit!G15</f>
        <v>0</v>
      </c>
      <c r="H13" s="142">
        <f>profit!H15</f>
        <v>0</v>
      </c>
    </row>
    <row r="14" spans="1:8" x14ac:dyDescent="0.25">
      <c r="A14" s="134" t="s">
        <v>204</v>
      </c>
      <c r="B14" s="143">
        <f>profit!B20</f>
        <v>0</v>
      </c>
      <c r="C14" s="143">
        <f>profit!C20</f>
        <v>0</v>
      </c>
      <c r="D14" s="143">
        <f>profit!D20</f>
        <v>0</v>
      </c>
      <c r="E14" s="143">
        <f>profit!E20</f>
        <v>0</v>
      </c>
      <c r="F14" s="143">
        <f>profit!F20</f>
        <v>0</v>
      </c>
      <c r="G14" s="143">
        <f>profit!G20</f>
        <v>0</v>
      </c>
      <c r="H14" s="143">
        <f>profit!H20</f>
        <v>0</v>
      </c>
    </row>
    <row r="15" spans="1:8" x14ac:dyDescent="0.25">
      <c r="A15" s="134" t="s">
        <v>198</v>
      </c>
      <c r="B15" s="143">
        <v>0</v>
      </c>
      <c r="C15" s="143">
        <v>0</v>
      </c>
      <c r="D15" s="143">
        <v>0</v>
      </c>
      <c r="E15" s="143">
        <v>0</v>
      </c>
      <c r="F15" s="143">
        <v>0</v>
      </c>
      <c r="G15" s="143">
        <v>0</v>
      </c>
      <c r="H15" s="143">
        <v>0</v>
      </c>
    </row>
    <row r="16" spans="1:8" x14ac:dyDescent="0.25">
      <c r="A16" s="134"/>
      <c r="B16" s="195">
        <f>SUM(B13:B15)</f>
        <v>0</v>
      </c>
      <c r="C16" s="195">
        <f>SUM(C13:C15)</f>
        <v>0</v>
      </c>
      <c r="D16" s="195">
        <f>SUM(D13:D15)</f>
        <v>0</v>
      </c>
      <c r="E16" s="195">
        <f>SUM(E13:E15)</f>
        <v>0</v>
      </c>
      <c r="F16" s="195">
        <f>SUM(F13:F15)</f>
        <v>0</v>
      </c>
      <c r="G16" s="195">
        <f t="shared" ref="G16:H16" si="0">SUM(G13:G15)</f>
        <v>0</v>
      </c>
      <c r="H16" s="195">
        <f t="shared" si="0"/>
        <v>0</v>
      </c>
    </row>
    <row r="17" spans="1:8" x14ac:dyDescent="0.25">
      <c r="A17" s="134"/>
      <c r="B17" s="136"/>
      <c r="C17" s="133"/>
      <c r="D17" s="136"/>
      <c r="E17" s="137"/>
      <c r="F17" s="136"/>
      <c r="G17" s="136"/>
      <c r="H17" s="136"/>
    </row>
    <row r="18" spans="1:8" x14ac:dyDescent="0.25">
      <c r="A18" s="134" t="s">
        <v>206</v>
      </c>
      <c r="B18" s="143">
        <f>B7-B9</f>
        <v>0</v>
      </c>
      <c r="C18" s="143">
        <f xml:space="preserve"> C7 - C9</f>
        <v>0</v>
      </c>
      <c r="D18" s="143">
        <f xml:space="preserve"> D7 - D9</f>
        <v>0</v>
      </c>
      <c r="E18" s="143">
        <f xml:space="preserve"> E7 - E9</f>
        <v>0</v>
      </c>
      <c r="F18" s="143">
        <f xml:space="preserve"> F7 - F9</f>
        <v>0</v>
      </c>
      <c r="G18" s="143">
        <f t="shared" ref="G18:H18" si="1" xml:space="preserve"> G7 - G9</f>
        <v>0</v>
      </c>
      <c r="H18" s="143">
        <f t="shared" si="1"/>
        <v>0</v>
      </c>
    </row>
    <row r="19" spans="1:8" x14ac:dyDescent="0.25">
      <c r="A19" s="134"/>
      <c r="B19" s="143"/>
      <c r="C19" s="143"/>
      <c r="D19" s="143"/>
      <c r="E19" s="143"/>
      <c r="F19" s="143"/>
      <c r="G19" s="143"/>
      <c r="H19" s="143"/>
    </row>
    <row r="20" spans="1:8" x14ac:dyDescent="0.25">
      <c r="A20" s="134" t="s">
        <v>199</v>
      </c>
      <c r="B20" s="143" t="e">
        <f>B18/B7*100</f>
        <v>#DIV/0!</v>
      </c>
      <c r="C20" s="143" t="e">
        <f t="shared" ref="C20:H20" si="2">C18/C7*100</f>
        <v>#DIV/0!</v>
      </c>
      <c r="D20" s="143" t="e">
        <f t="shared" si="2"/>
        <v>#DIV/0!</v>
      </c>
      <c r="E20" s="143" t="e">
        <f t="shared" si="2"/>
        <v>#DIV/0!</v>
      </c>
      <c r="F20" s="143" t="e">
        <f t="shared" si="2"/>
        <v>#DIV/0!</v>
      </c>
      <c r="G20" s="143" t="e">
        <f t="shared" si="2"/>
        <v>#DIV/0!</v>
      </c>
      <c r="H20" s="143" t="e">
        <f t="shared" si="2"/>
        <v>#DIV/0!</v>
      </c>
    </row>
    <row r="21" spans="1:8" x14ac:dyDescent="0.25">
      <c r="A21" s="134"/>
      <c r="B21" s="143"/>
      <c r="C21" s="143"/>
      <c r="D21" s="143"/>
      <c r="E21" s="143"/>
      <c r="F21" s="143"/>
      <c r="G21" s="143"/>
      <c r="H21" s="143"/>
    </row>
    <row r="22" spans="1:8" x14ac:dyDescent="0.25">
      <c r="A22" s="134" t="s">
        <v>200</v>
      </c>
      <c r="B22" s="136"/>
      <c r="C22" s="136"/>
      <c r="D22" s="136"/>
      <c r="E22" s="136"/>
      <c r="F22" s="136"/>
      <c r="G22" s="136"/>
      <c r="H22" s="136"/>
    </row>
    <row r="23" spans="1:8" x14ac:dyDescent="0.25">
      <c r="A23" s="134" t="s">
        <v>201</v>
      </c>
      <c r="B23" s="143" t="e">
        <f>B16/B20*100</f>
        <v>#DIV/0!</v>
      </c>
      <c r="C23" s="143" t="e">
        <f t="shared" ref="C23:H23" si="3">C16/C20*100</f>
        <v>#DIV/0!</v>
      </c>
      <c r="D23" s="143" t="e">
        <f t="shared" si="3"/>
        <v>#DIV/0!</v>
      </c>
      <c r="E23" s="143" t="e">
        <f t="shared" si="3"/>
        <v>#DIV/0!</v>
      </c>
      <c r="F23" s="143" t="e">
        <f t="shared" si="3"/>
        <v>#DIV/0!</v>
      </c>
      <c r="G23" s="143" t="e">
        <f t="shared" si="3"/>
        <v>#DIV/0!</v>
      </c>
      <c r="H23" s="143" t="e">
        <f t="shared" si="3"/>
        <v>#DIV/0!</v>
      </c>
    </row>
    <row r="24" spans="1:8" x14ac:dyDescent="0.25">
      <c r="A24" s="134"/>
      <c r="B24" s="143"/>
      <c r="C24" s="143"/>
      <c r="D24" s="143"/>
      <c r="E24" s="143"/>
      <c r="F24" s="143"/>
      <c r="G24" s="143"/>
      <c r="H24" s="143"/>
    </row>
    <row r="25" spans="1:8" x14ac:dyDescent="0.25">
      <c r="A25" s="134" t="s">
        <v>202</v>
      </c>
      <c r="B25" s="143" t="e">
        <f>(B16-B13)/B20*100</f>
        <v>#DIV/0!</v>
      </c>
      <c r="C25" s="143" t="e">
        <f t="shared" ref="C25:H25" si="4">(C16-C13)/C20*100</f>
        <v>#DIV/0!</v>
      </c>
      <c r="D25" s="143" t="e">
        <f t="shared" si="4"/>
        <v>#DIV/0!</v>
      </c>
      <c r="E25" s="143" t="e">
        <f t="shared" si="4"/>
        <v>#DIV/0!</v>
      </c>
      <c r="F25" s="143" t="e">
        <f t="shared" si="4"/>
        <v>#DIV/0!</v>
      </c>
      <c r="G25" s="143" t="e">
        <f t="shared" si="4"/>
        <v>#DIV/0!</v>
      </c>
      <c r="H25" s="143" t="e">
        <f t="shared" si="4"/>
        <v>#DIV/0!</v>
      </c>
    </row>
    <row r="26" spans="1:8" x14ac:dyDescent="0.25">
      <c r="A26" s="134" t="s">
        <v>203</v>
      </c>
      <c r="B26" s="143"/>
      <c r="C26" s="144"/>
      <c r="D26" s="143"/>
      <c r="E26" s="145"/>
      <c r="F26" s="143"/>
      <c r="G26" s="143"/>
      <c r="H26" s="143"/>
    </row>
    <row r="27" spans="1:8" x14ac:dyDescent="0.25">
      <c r="A27" s="146"/>
      <c r="B27" s="147"/>
      <c r="C27" s="148"/>
      <c r="D27" s="147"/>
      <c r="E27" s="149"/>
      <c r="F27" s="147"/>
      <c r="G27" s="147"/>
      <c r="H27" s="147"/>
    </row>
  </sheetData>
  <mergeCells count="2">
    <mergeCell ref="A5:A6"/>
    <mergeCell ref="B5:H5"/>
  </mergeCells>
  <printOptions horizontalCentered="1"/>
  <pageMargins left="0.36" right="0.57999999999999996" top="1" bottom="1" header="0.5" footer="0.5"/>
  <pageSetup scale="99" orientation="portrait" horizontalDpi="4294967293" verticalDpi="14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zoomScaleNormal="100" workbookViewId="0">
      <selection activeCell="A5" sqref="A5:H6"/>
    </sheetView>
  </sheetViews>
  <sheetFormatPr defaultColWidth="12.5703125" defaultRowHeight="15" x14ac:dyDescent="0.25"/>
  <cols>
    <col min="1" max="1" width="29.85546875" style="2" customWidth="1"/>
    <col min="2" max="8" width="14.85546875" style="2" customWidth="1"/>
    <col min="9" max="16384" width="12.5703125" style="2"/>
  </cols>
  <sheetData>
    <row r="1" spans="1:8" x14ac:dyDescent="0.25">
      <c r="A1" s="1" t="str">
        <f>'Capital Account'!A1</f>
        <v>Malan Food Products Pvt Ltd</v>
      </c>
    </row>
    <row r="2" spans="1:8" x14ac:dyDescent="0.25">
      <c r="A2" s="1" t="s">
        <v>38</v>
      </c>
    </row>
    <row r="4" spans="1:8" x14ac:dyDescent="0.25">
      <c r="A4" s="1" t="s">
        <v>242</v>
      </c>
      <c r="B4" s="19"/>
    </row>
    <row r="5" spans="1:8" x14ac:dyDescent="0.25">
      <c r="A5" s="212" t="s">
        <v>28</v>
      </c>
      <c r="B5" s="225" t="s">
        <v>75</v>
      </c>
      <c r="C5" s="219"/>
      <c r="D5" s="219"/>
      <c r="E5" s="219"/>
      <c r="F5" s="219"/>
      <c r="G5" s="219"/>
      <c r="H5" s="220"/>
    </row>
    <row r="6" spans="1:8" x14ac:dyDescent="0.25">
      <c r="A6" s="213"/>
      <c r="B6" s="206">
        <v>1</v>
      </c>
      <c r="C6" s="208">
        <v>2</v>
      </c>
      <c r="D6" s="206">
        <v>3</v>
      </c>
      <c r="E6" s="198">
        <v>4</v>
      </c>
      <c r="F6" s="198">
        <v>5</v>
      </c>
      <c r="G6" s="198">
        <v>6</v>
      </c>
      <c r="H6" s="198">
        <v>7</v>
      </c>
    </row>
    <row r="7" spans="1:8" x14ac:dyDescent="0.25">
      <c r="A7" s="153" t="s">
        <v>243</v>
      </c>
      <c r="B7" s="37"/>
      <c r="C7" s="33"/>
      <c r="D7" s="26"/>
      <c r="E7" s="33"/>
      <c r="F7" s="33"/>
      <c r="G7" s="33"/>
      <c r="H7" s="33"/>
    </row>
    <row r="8" spans="1:8" x14ac:dyDescent="0.25">
      <c r="A8" s="41" t="s">
        <v>41</v>
      </c>
      <c r="B8" s="38">
        <f>profit!B35</f>
        <v>0</v>
      </c>
      <c r="C8" s="38">
        <f>profit!C35</f>
        <v>0</v>
      </c>
      <c r="D8" s="38">
        <f>profit!D35</f>
        <v>0</v>
      </c>
      <c r="E8" s="38">
        <f>profit!E35</f>
        <v>0</v>
      </c>
      <c r="F8" s="38">
        <f>profit!F35</f>
        <v>0</v>
      </c>
      <c r="G8" s="38">
        <f>profit!G35</f>
        <v>0</v>
      </c>
      <c r="H8" s="34">
        <f>profit!H35</f>
        <v>0</v>
      </c>
    </row>
    <row r="9" spans="1:8" x14ac:dyDescent="0.25">
      <c r="A9" s="41" t="s">
        <v>241</v>
      </c>
      <c r="B9" s="42">
        <f>profit!B33</f>
        <v>0</v>
      </c>
      <c r="C9" s="42">
        <f>profit!C33</f>
        <v>0</v>
      </c>
      <c r="D9" s="42">
        <f>profit!D33</f>
        <v>0</v>
      </c>
      <c r="E9" s="42">
        <f>profit!E33</f>
        <v>0</v>
      </c>
      <c r="F9" s="42">
        <f>profit!F33</f>
        <v>0</v>
      </c>
      <c r="G9" s="42">
        <f>profit!G33</f>
        <v>0</v>
      </c>
      <c r="H9" s="15">
        <f>profit!H33</f>
        <v>0</v>
      </c>
    </row>
    <row r="10" spans="1:8" x14ac:dyDescent="0.25">
      <c r="A10" s="41" t="s">
        <v>165</v>
      </c>
      <c r="B10" s="38">
        <f>profit!B20</f>
        <v>0</v>
      </c>
      <c r="C10" s="38">
        <f>profit!C20</f>
        <v>0</v>
      </c>
      <c r="D10" s="38">
        <f>profit!D20</f>
        <v>0</v>
      </c>
      <c r="E10" s="38">
        <f>profit!E20</f>
        <v>0</v>
      </c>
      <c r="F10" s="38">
        <f>profit!F20</f>
        <v>0</v>
      </c>
      <c r="G10" s="38">
        <f>profit!G20</f>
        <v>0</v>
      </c>
      <c r="H10" s="34">
        <f>profit!H20</f>
        <v>0</v>
      </c>
    </row>
    <row r="11" spans="1:8" x14ac:dyDescent="0.25">
      <c r="A11" s="41" t="s">
        <v>70</v>
      </c>
      <c r="B11" s="192">
        <f t="shared" ref="B11:H11" si="0">SUM(B8:B10)</f>
        <v>0</v>
      </c>
      <c r="C11" s="192">
        <f t="shared" si="0"/>
        <v>0</v>
      </c>
      <c r="D11" s="192">
        <f t="shared" si="0"/>
        <v>0</v>
      </c>
      <c r="E11" s="192">
        <f t="shared" si="0"/>
        <v>0</v>
      </c>
      <c r="F11" s="188">
        <f t="shared" si="0"/>
        <v>0</v>
      </c>
      <c r="G11" s="188">
        <f t="shared" si="0"/>
        <v>0</v>
      </c>
      <c r="H11" s="188">
        <f t="shared" si="0"/>
        <v>0</v>
      </c>
    </row>
    <row r="12" spans="1:8" x14ac:dyDescent="0.25">
      <c r="A12" s="41"/>
      <c r="B12" s="38"/>
      <c r="C12" s="38"/>
      <c r="D12" s="38"/>
      <c r="E12" s="38"/>
      <c r="F12" s="34"/>
      <c r="G12" s="34"/>
      <c r="H12" s="34"/>
    </row>
    <row r="13" spans="1:8" x14ac:dyDescent="0.25">
      <c r="A13" s="93" t="s">
        <v>244</v>
      </c>
      <c r="B13" s="38"/>
      <c r="C13" s="38"/>
      <c r="D13" s="38"/>
      <c r="E13" s="38"/>
      <c r="F13" s="34"/>
      <c r="G13" s="34"/>
      <c r="H13" s="34"/>
    </row>
    <row r="14" spans="1:8" x14ac:dyDescent="0.25">
      <c r="A14" s="41" t="s">
        <v>245</v>
      </c>
      <c r="B14" s="38">
        <f>B.sheet!B23</f>
        <v>0</v>
      </c>
      <c r="C14" s="38">
        <f>B.sheet!C23</f>
        <v>0</v>
      </c>
      <c r="D14" s="38">
        <f>B.sheet!D23</f>
        <v>0</v>
      </c>
      <c r="E14" s="38">
        <f>B.sheet!E23</f>
        <v>0</v>
      </c>
      <c r="F14" s="38">
        <f>B.sheet!F23</f>
        <v>0</v>
      </c>
      <c r="G14" s="38">
        <f>B.sheet!G23</f>
        <v>0</v>
      </c>
      <c r="H14" s="34">
        <f>B.sheet!H23</f>
        <v>0</v>
      </c>
    </row>
    <row r="15" spans="1:8" x14ac:dyDescent="0.25">
      <c r="A15" s="41" t="s">
        <v>246</v>
      </c>
      <c r="B15" s="38">
        <f>-B.sheet!B12</f>
        <v>0</v>
      </c>
      <c r="C15" s="38">
        <f>-B.sheet!C12</f>
        <v>0</v>
      </c>
      <c r="D15" s="38">
        <f>-B.sheet!D12</f>
        <v>0</v>
      </c>
      <c r="E15" s="38">
        <f>-B.sheet!E12</f>
        <v>0</v>
      </c>
      <c r="F15" s="38">
        <f>-B.sheet!F12</f>
        <v>0</v>
      </c>
      <c r="G15" s="38">
        <f>-B.sheet!G12</f>
        <v>0</v>
      </c>
      <c r="H15" s="34">
        <f>-B.sheet!H12</f>
        <v>0</v>
      </c>
    </row>
    <row r="16" spans="1:8" x14ac:dyDescent="0.25">
      <c r="A16" s="41" t="s">
        <v>8</v>
      </c>
      <c r="B16" s="38" t="s">
        <v>8</v>
      </c>
      <c r="C16" s="38" t="s">
        <v>8</v>
      </c>
      <c r="D16" s="38" t="s">
        <v>8</v>
      </c>
      <c r="E16" s="38" t="s">
        <v>8</v>
      </c>
      <c r="F16" s="34" t="s">
        <v>8</v>
      </c>
      <c r="G16" s="34" t="s">
        <v>8</v>
      </c>
      <c r="H16" s="34" t="s">
        <v>8</v>
      </c>
    </row>
    <row r="17" spans="1:8" x14ac:dyDescent="0.25">
      <c r="A17" s="41" t="s">
        <v>60</v>
      </c>
      <c r="B17" s="196">
        <f t="shared" ref="B17:H17" si="1">SUM(B14:B16)</f>
        <v>0</v>
      </c>
      <c r="C17" s="196">
        <f t="shared" si="1"/>
        <v>0</v>
      </c>
      <c r="D17" s="196">
        <f t="shared" si="1"/>
        <v>0</v>
      </c>
      <c r="E17" s="196">
        <f t="shared" si="1"/>
        <v>0</v>
      </c>
      <c r="F17" s="197">
        <f t="shared" si="1"/>
        <v>0</v>
      </c>
      <c r="G17" s="197">
        <f t="shared" si="1"/>
        <v>0</v>
      </c>
      <c r="H17" s="197">
        <f t="shared" si="1"/>
        <v>0</v>
      </c>
    </row>
    <row r="18" spans="1:8" x14ac:dyDescent="0.25">
      <c r="A18" s="41"/>
      <c r="B18" s="33"/>
      <c r="C18" s="33"/>
      <c r="D18" s="33"/>
      <c r="E18" s="33"/>
      <c r="F18" s="33"/>
      <c r="G18" s="33"/>
      <c r="H18" s="33"/>
    </row>
    <row r="19" spans="1:8" x14ac:dyDescent="0.25">
      <c r="A19" s="41" t="s">
        <v>248</v>
      </c>
      <c r="B19" s="34"/>
      <c r="C19" s="34"/>
      <c r="D19" s="34"/>
      <c r="E19" s="34"/>
      <c r="F19" s="34"/>
      <c r="G19" s="34"/>
      <c r="H19" s="34"/>
    </row>
    <row r="20" spans="1:8" x14ac:dyDescent="0.25">
      <c r="A20" s="36" t="s">
        <v>247</v>
      </c>
      <c r="B20" s="188" t="e">
        <f>B11/B17</f>
        <v>#DIV/0!</v>
      </c>
      <c r="C20" s="188" t="e">
        <f>C11/C17</f>
        <v>#DIV/0!</v>
      </c>
      <c r="D20" s="188" t="e">
        <f>D11/D17</f>
        <v>#DIV/0!</v>
      </c>
      <c r="E20" s="188" t="e">
        <f>E11/E17</f>
        <v>#DIV/0!</v>
      </c>
      <c r="F20" s="188" t="e">
        <f>F11/F17</f>
        <v>#DIV/0!</v>
      </c>
      <c r="G20" s="188" t="e">
        <f t="shared" ref="G20:H20" si="2">G11/G17</f>
        <v>#DIV/0!</v>
      </c>
      <c r="H20" s="188" t="e">
        <f t="shared" si="2"/>
        <v>#DIV/0!</v>
      </c>
    </row>
    <row r="21" spans="1:8" x14ac:dyDescent="0.25">
      <c r="A21" s="20"/>
      <c r="B21" s="19"/>
      <c r="C21" s="19"/>
      <c r="D21" s="19"/>
      <c r="E21" s="19"/>
      <c r="F21" s="29"/>
      <c r="G21" s="29"/>
      <c r="H21" s="29"/>
    </row>
    <row r="22" spans="1:8" x14ac:dyDescent="0.25">
      <c r="A22" s="20" t="s">
        <v>69</v>
      </c>
      <c r="B22" s="44" t="e">
        <f>AVERAGE(B20:H20)</f>
        <v>#DIV/0!</v>
      </c>
      <c r="C22" s="19"/>
      <c r="D22" s="19"/>
      <c r="E22" s="19"/>
      <c r="F22" s="32"/>
      <c r="G22" s="32"/>
      <c r="H22" s="32"/>
    </row>
    <row r="23" spans="1:8" x14ac:dyDescent="0.25">
      <c r="A23" s="20"/>
      <c r="B23" s="19"/>
      <c r="C23" s="19"/>
      <c r="D23" s="19"/>
      <c r="E23" s="19"/>
      <c r="F23" s="32"/>
      <c r="G23" s="32"/>
      <c r="H23" s="32"/>
    </row>
    <row r="24" spans="1:8" x14ac:dyDescent="0.25">
      <c r="A24" s="25"/>
      <c r="B24" s="30"/>
      <c r="C24" s="30"/>
      <c r="D24" s="30"/>
      <c r="E24" s="30"/>
      <c r="F24" s="31"/>
      <c r="G24" s="31"/>
      <c r="H24" s="31"/>
    </row>
  </sheetData>
  <mergeCells count="2">
    <mergeCell ref="A5:A6"/>
    <mergeCell ref="B5:H5"/>
  </mergeCells>
  <printOptions horizontalCentered="1"/>
  <pageMargins left="0" right="0" top="1.299212598425197" bottom="0.6692913385826772" header="0.47244094488188981" footer="0.51181102362204722"/>
  <pageSetup scale="95" orientation="portrait" horizontalDpi="4294967293" verticalDpi="144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zoomScaleNormal="100" workbookViewId="0">
      <selection activeCell="A5" sqref="A5:H6"/>
    </sheetView>
  </sheetViews>
  <sheetFormatPr defaultColWidth="12.5703125" defaultRowHeight="15" x14ac:dyDescent="0.25"/>
  <cols>
    <col min="1" max="1" width="29.85546875" style="2" customWidth="1"/>
    <col min="2" max="8" width="13.140625" style="2" customWidth="1"/>
    <col min="9" max="16384" width="12.5703125" style="2"/>
  </cols>
  <sheetData>
    <row r="1" spans="1:8" x14ac:dyDescent="0.25">
      <c r="A1" s="1" t="str">
        <f>'Capital Account'!A1</f>
        <v>Malan Food Products Pvt Ltd</v>
      </c>
    </row>
    <row r="2" spans="1:8" x14ac:dyDescent="0.25">
      <c r="A2" s="1" t="s">
        <v>38</v>
      </c>
    </row>
    <row r="4" spans="1:8" x14ac:dyDescent="0.25">
      <c r="A4" s="1" t="s">
        <v>56</v>
      </c>
      <c r="B4" s="19"/>
    </row>
    <row r="5" spans="1:8" x14ac:dyDescent="0.25">
      <c r="A5" s="212" t="s">
        <v>28</v>
      </c>
      <c r="B5" s="225" t="s">
        <v>75</v>
      </c>
      <c r="C5" s="219"/>
      <c r="D5" s="219"/>
      <c r="E5" s="219"/>
      <c r="F5" s="219"/>
      <c r="G5" s="219"/>
      <c r="H5" s="220"/>
    </row>
    <row r="6" spans="1:8" x14ac:dyDescent="0.25">
      <c r="A6" s="213"/>
      <c r="B6" s="206">
        <v>1</v>
      </c>
      <c r="C6" s="208">
        <v>2</v>
      </c>
      <c r="D6" s="206">
        <v>3</v>
      </c>
      <c r="E6" s="198">
        <v>4</v>
      </c>
      <c r="F6" s="198">
        <v>5</v>
      </c>
      <c r="G6" s="198">
        <v>6</v>
      </c>
      <c r="H6" s="198">
        <v>7</v>
      </c>
    </row>
    <row r="7" spans="1:8" x14ac:dyDescent="0.25">
      <c r="A7" s="40" t="s">
        <v>79</v>
      </c>
      <c r="B7" s="37"/>
      <c r="C7" s="33"/>
      <c r="D7" s="26"/>
      <c r="E7" s="33"/>
      <c r="F7" s="33"/>
      <c r="G7" s="33"/>
      <c r="H7" s="33"/>
    </row>
    <row r="8" spans="1:8" x14ac:dyDescent="0.25">
      <c r="A8" s="41" t="s">
        <v>41</v>
      </c>
      <c r="B8" s="38">
        <f>+profit!B35</f>
        <v>0</v>
      </c>
      <c r="C8" s="38">
        <f>+profit!C35</f>
        <v>0</v>
      </c>
      <c r="D8" s="38">
        <f>+profit!D35</f>
        <v>0</v>
      </c>
      <c r="E8" s="38">
        <f>+profit!E35</f>
        <v>0</v>
      </c>
      <c r="F8" s="34">
        <f>+profit!F35</f>
        <v>0</v>
      </c>
      <c r="G8" s="34">
        <f>+profit!G35</f>
        <v>0</v>
      </c>
      <c r="H8" s="34">
        <f>+profit!H35</f>
        <v>0</v>
      </c>
    </row>
    <row r="9" spans="1:8" x14ac:dyDescent="0.25">
      <c r="A9" s="41" t="s">
        <v>42</v>
      </c>
      <c r="B9" s="42">
        <f>+profit!B37</f>
        <v>0</v>
      </c>
      <c r="C9" s="42">
        <f>+profit!C37</f>
        <v>0</v>
      </c>
      <c r="D9" s="42">
        <f>+profit!D37</f>
        <v>0</v>
      </c>
      <c r="E9" s="42">
        <f>+profit!E37</f>
        <v>0</v>
      </c>
      <c r="F9" s="15">
        <f>+profit!F37</f>
        <v>0</v>
      </c>
      <c r="G9" s="15">
        <f>+profit!G37</f>
        <v>0</v>
      </c>
      <c r="H9" s="15">
        <f>+profit!H37</f>
        <v>0</v>
      </c>
    </row>
    <row r="10" spans="1:8" x14ac:dyDescent="0.25">
      <c r="A10" s="41" t="s">
        <v>165</v>
      </c>
      <c r="B10" s="38">
        <f>profit!B20</f>
        <v>0</v>
      </c>
      <c r="C10" s="38">
        <f>profit!C20</f>
        <v>0</v>
      </c>
      <c r="D10" s="38">
        <f>profit!D20</f>
        <v>0</v>
      </c>
      <c r="E10" s="38">
        <f>profit!E20</f>
        <v>0</v>
      </c>
      <c r="F10" s="38">
        <f>profit!F20</f>
        <v>0</v>
      </c>
      <c r="G10" s="38">
        <f>profit!G20</f>
        <v>0</v>
      </c>
      <c r="H10" s="34">
        <f>profit!H20</f>
        <v>0</v>
      </c>
    </row>
    <row r="11" spans="1:8" x14ac:dyDescent="0.25">
      <c r="A11" s="41" t="s">
        <v>70</v>
      </c>
      <c r="B11" s="192">
        <f>SUM(B8:B10)</f>
        <v>0</v>
      </c>
      <c r="C11" s="192">
        <f>SUM(C8:C10)</f>
        <v>0</v>
      </c>
      <c r="D11" s="192">
        <f>SUM(D8:D10)</f>
        <v>0</v>
      </c>
      <c r="E11" s="192">
        <f>SUM(E8:E10)</f>
        <v>0</v>
      </c>
      <c r="F11" s="188">
        <f>SUM(F8:F10)</f>
        <v>0</v>
      </c>
      <c r="G11" s="188">
        <f t="shared" ref="G11:H11" si="0">SUM(G8:G10)</f>
        <v>0</v>
      </c>
      <c r="H11" s="188">
        <f t="shared" si="0"/>
        <v>0</v>
      </c>
    </row>
    <row r="12" spans="1:8" x14ac:dyDescent="0.25">
      <c r="A12" s="41"/>
      <c r="B12" s="38"/>
      <c r="C12" s="38"/>
      <c r="D12" s="38"/>
      <c r="E12" s="38"/>
      <c r="F12" s="34"/>
      <c r="G12" s="34"/>
      <c r="H12" s="34"/>
    </row>
    <row r="13" spans="1:8" x14ac:dyDescent="0.25">
      <c r="A13" s="41" t="s">
        <v>80</v>
      </c>
      <c r="B13" s="38"/>
      <c r="C13" s="38"/>
      <c r="D13" s="38"/>
      <c r="E13" s="38"/>
      <c r="F13" s="34"/>
      <c r="G13" s="34"/>
      <c r="H13" s="34"/>
    </row>
    <row r="14" spans="1:8" x14ac:dyDescent="0.25">
      <c r="A14" s="41" t="s">
        <v>45</v>
      </c>
      <c r="B14" s="38">
        <f>+Cash!B19</f>
        <v>0</v>
      </c>
      <c r="C14" s="38">
        <f>+Cash!C19</f>
        <v>0</v>
      </c>
      <c r="D14" s="38">
        <f>+Cash!D19</f>
        <v>0</v>
      </c>
      <c r="E14" s="38">
        <f>+Cash!E19</f>
        <v>0</v>
      </c>
      <c r="F14" s="34">
        <f>+Cash!F19</f>
        <v>0</v>
      </c>
      <c r="G14" s="34">
        <f>+Cash!G19</f>
        <v>0</v>
      </c>
      <c r="H14" s="34">
        <f>+Cash!H19</f>
        <v>0</v>
      </c>
    </row>
    <row r="15" spans="1:8" x14ac:dyDescent="0.25">
      <c r="A15" s="41" t="s">
        <v>61</v>
      </c>
      <c r="B15" s="38">
        <f>+profit!B20</f>
        <v>0</v>
      </c>
      <c r="C15" s="38">
        <f>+profit!C20</f>
        <v>0</v>
      </c>
      <c r="D15" s="38">
        <f>+profit!D20</f>
        <v>0</v>
      </c>
      <c r="E15" s="38">
        <f>+profit!E20</f>
        <v>0</v>
      </c>
      <c r="F15" s="34">
        <f>+profit!F20</f>
        <v>0</v>
      </c>
      <c r="G15" s="34">
        <f>+profit!G20</f>
        <v>0</v>
      </c>
      <c r="H15" s="34">
        <f>+profit!H20</f>
        <v>0</v>
      </c>
    </row>
    <row r="16" spans="1:8" x14ac:dyDescent="0.25">
      <c r="A16" s="41" t="s">
        <v>8</v>
      </c>
      <c r="B16" s="38" t="s">
        <v>8</v>
      </c>
      <c r="C16" s="38" t="s">
        <v>8</v>
      </c>
      <c r="D16" s="38" t="s">
        <v>8</v>
      </c>
      <c r="E16" s="38" t="s">
        <v>8</v>
      </c>
      <c r="F16" s="34" t="s">
        <v>8</v>
      </c>
      <c r="G16" s="34" t="s">
        <v>8</v>
      </c>
      <c r="H16" s="34" t="s">
        <v>8</v>
      </c>
    </row>
    <row r="17" spans="1:8" x14ac:dyDescent="0.25">
      <c r="A17" s="41" t="s">
        <v>60</v>
      </c>
      <c r="B17" s="196">
        <f>SUM(B14:B16)</f>
        <v>0</v>
      </c>
      <c r="C17" s="196">
        <f>SUM(C14:C16)</f>
        <v>0</v>
      </c>
      <c r="D17" s="196">
        <f>SUM(D14:D16)</f>
        <v>0</v>
      </c>
      <c r="E17" s="196">
        <f>SUM(E14:E16)</f>
        <v>0</v>
      </c>
      <c r="F17" s="197">
        <f>SUM(F14:F16)</f>
        <v>0</v>
      </c>
      <c r="G17" s="197">
        <f t="shared" ref="G17:H17" si="1">SUM(G14:G16)</f>
        <v>0</v>
      </c>
      <c r="H17" s="197">
        <f t="shared" si="1"/>
        <v>0</v>
      </c>
    </row>
    <row r="18" spans="1:8" x14ac:dyDescent="0.25">
      <c r="A18" s="41"/>
      <c r="B18" s="33"/>
      <c r="C18" s="33"/>
      <c r="D18" s="33"/>
      <c r="E18" s="33"/>
      <c r="F18" s="33"/>
      <c r="G18" s="33"/>
      <c r="H18" s="33"/>
    </row>
    <row r="19" spans="1:8" x14ac:dyDescent="0.25">
      <c r="A19" s="41" t="s">
        <v>57</v>
      </c>
      <c r="B19" s="34"/>
      <c r="C19" s="34"/>
      <c r="D19" s="34"/>
      <c r="E19" s="34"/>
      <c r="F19" s="34"/>
      <c r="G19" s="34"/>
      <c r="H19" s="34"/>
    </row>
    <row r="20" spans="1:8" x14ac:dyDescent="0.25">
      <c r="A20" s="36" t="s">
        <v>65</v>
      </c>
      <c r="B20" s="188" t="e">
        <f>B11/B17</f>
        <v>#DIV/0!</v>
      </c>
      <c r="C20" s="188" t="e">
        <f>C11/C17</f>
        <v>#DIV/0!</v>
      </c>
      <c r="D20" s="188" t="e">
        <f>D11/D17</f>
        <v>#DIV/0!</v>
      </c>
      <c r="E20" s="188" t="e">
        <f>E11/E17</f>
        <v>#DIV/0!</v>
      </c>
      <c r="F20" s="188" t="e">
        <f>F11/F17</f>
        <v>#DIV/0!</v>
      </c>
      <c r="G20" s="188" t="e">
        <f t="shared" ref="G20:H20" si="2">G11/G17</f>
        <v>#DIV/0!</v>
      </c>
      <c r="H20" s="188" t="e">
        <f t="shared" si="2"/>
        <v>#DIV/0!</v>
      </c>
    </row>
    <row r="21" spans="1:8" x14ac:dyDescent="0.25">
      <c r="A21" s="20"/>
      <c r="B21" s="19"/>
      <c r="C21" s="19"/>
      <c r="D21" s="19"/>
      <c r="E21" s="19"/>
      <c r="F21" s="29"/>
      <c r="G21" s="29"/>
      <c r="H21" s="29"/>
    </row>
    <row r="22" spans="1:8" x14ac:dyDescent="0.25">
      <c r="A22" s="20" t="s">
        <v>69</v>
      </c>
      <c r="B22" s="44" t="e">
        <f>AVERAGE(B20:H20)</f>
        <v>#DIV/0!</v>
      </c>
      <c r="C22" s="19"/>
      <c r="D22" s="19"/>
      <c r="E22" s="19"/>
      <c r="F22" s="32"/>
      <c r="G22" s="32"/>
      <c r="H22" s="32"/>
    </row>
    <row r="23" spans="1:8" x14ac:dyDescent="0.25">
      <c r="A23" s="20"/>
      <c r="B23" s="19"/>
      <c r="C23" s="19"/>
      <c r="D23" s="19"/>
      <c r="E23" s="19"/>
      <c r="F23" s="32"/>
      <c r="G23" s="32"/>
      <c r="H23" s="32"/>
    </row>
    <row r="24" spans="1:8" x14ac:dyDescent="0.25">
      <c r="A24" s="25"/>
      <c r="B24" s="30"/>
      <c r="C24" s="30"/>
      <c r="D24" s="30"/>
      <c r="E24" s="30"/>
      <c r="F24" s="31"/>
      <c r="G24" s="31"/>
      <c r="H24" s="31"/>
    </row>
  </sheetData>
  <mergeCells count="2">
    <mergeCell ref="A5:A6"/>
    <mergeCell ref="B5:H5"/>
  </mergeCells>
  <phoneticPr fontId="0" type="noConversion"/>
  <printOptions horizontalCentered="1"/>
  <pageMargins left="0" right="0" top="1.299212598425197" bottom="0.6692913385826772" header="0.47244094488188981" footer="0.51181102362204722"/>
  <pageSetup scale="95" orientation="portrait" horizontalDpi="4294967293" verticalDpi="144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zoomScaleNormal="100" workbookViewId="0">
      <selection activeCell="A5" sqref="A5:H6"/>
    </sheetView>
  </sheetViews>
  <sheetFormatPr defaultColWidth="12.5703125" defaultRowHeight="15" x14ac:dyDescent="0.25"/>
  <cols>
    <col min="1" max="1" width="34.7109375" style="2" customWidth="1"/>
    <col min="2" max="8" width="14.42578125" style="2" customWidth="1"/>
    <col min="9" max="16384" width="12.5703125" style="2"/>
  </cols>
  <sheetData>
    <row r="1" spans="1:8" x14ac:dyDescent="0.25">
      <c r="A1" s="1" t="str">
        <f>DSCR!A1</f>
        <v>Malan Food Products Pvt Ltd</v>
      </c>
    </row>
    <row r="2" spans="1:8" x14ac:dyDescent="0.25">
      <c r="A2" s="1" t="s">
        <v>39</v>
      </c>
    </row>
    <row r="4" spans="1:8" x14ac:dyDescent="0.25">
      <c r="A4" s="1" t="s">
        <v>236</v>
      </c>
      <c r="B4" s="19"/>
    </row>
    <row r="5" spans="1:8" x14ac:dyDescent="0.25">
      <c r="A5" s="212" t="s">
        <v>28</v>
      </c>
      <c r="B5" s="225" t="s">
        <v>75</v>
      </c>
      <c r="C5" s="219"/>
      <c r="D5" s="219"/>
      <c r="E5" s="219"/>
      <c r="F5" s="219"/>
      <c r="G5" s="219"/>
      <c r="H5" s="220"/>
    </row>
    <row r="6" spans="1:8" x14ac:dyDescent="0.25">
      <c r="A6" s="213"/>
      <c r="B6" s="206">
        <v>1</v>
      </c>
      <c r="C6" s="208">
        <v>2</v>
      </c>
      <c r="D6" s="206">
        <v>3</v>
      </c>
      <c r="E6" s="198">
        <v>4</v>
      </c>
      <c r="F6" s="198">
        <v>5</v>
      </c>
      <c r="G6" s="198">
        <v>6</v>
      </c>
      <c r="H6" s="198">
        <v>7</v>
      </c>
    </row>
    <row r="7" spans="1:8" x14ac:dyDescent="0.25">
      <c r="A7" s="93" t="s">
        <v>234</v>
      </c>
      <c r="B7" s="38"/>
      <c r="C7" s="38"/>
      <c r="D7" s="38"/>
      <c r="E7" s="38"/>
      <c r="F7" s="34"/>
      <c r="G7" s="34"/>
      <c r="H7" s="34"/>
    </row>
    <row r="8" spans="1:8" x14ac:dyDescent="0.25">
      <c r="A8" s="87" t="s">
        <v>235</v>
      </c>
      <c r="B8" s="42">
        <f>B.sheet!B18</f>
        <v>0</v>
      </c>
      <c r="C8" s="42">
        <f>B.sheet!C18</f>
        <v>0</v>
      </c>
      <c r="D8" s="42">
        <f>B.sheet!D18</f>
        <v>0</v>
      </c>
      <c r="E8" s="42">
        <f>B.sheet!E18</f>
        <v>0</v>
      </c>
      <c r="F8" s="42">
        <f>B.sheet!F18</f>
        <v>0</v>
      </c>
      <c r="G8" s="42">
        <f>B.sheet!G18</f>
        <v>0</v>
      </c>
      <c r="H8" s="15">
        <f>B.sheet!H18</f>
        <v>0</v>
      </c>
    </row>
    <row r="9" spans="1:8" x14ac:dyDescent="0.25">
      <c r="A9" s="34"/>
      <c r="B9" s="42"/>
      <c r="C9" s="42"/>
      <c r="D9" s="42"/>
      <c r="E9" s="42"/>
      <c r="F9" s="15"/>
      <c r="G9" s="15"/>
      <c r="H9" s="15"/>
    </row>
    <row r="10" spans="1:8" x14ac:dyDescent="0.25">
      <c r="A10" s="41" t="s">
        <v>70</v>
      </c>
      <c r="B10" s="192">
        <f t="shared" ref="B10:H10" si="0">SUM(B7:B8)</f>
        <v>0</v>
      </c>
      <c r="C10" s="192">
        <f t="shared" si="0"/>
        <v>0</v>
      </c>
      <c r="D10" s="192">
        <f t="shared" si="0"/>
        <v>0</v>
      </c>
      <c r="E10" s="192">
        <f t="shared" si="0"/>
        <v>0</v>
      </c>
      <c r="F10" s="188">
        <f t="shared" si="0"/>
        <v>0</v>
      </c>
      <c r="G10" s="188">
        <f t="shared" si="0"/>
        <v>0</v>
      </c>
      <c r="H10" s="188">
        <f t="shared" si="0"/>
        <v>0</v>
      </c>
    </row>
    <row r="11" spans="1:8" x14ac:dyDescent="0.25">
      <c r="A11" s="41"/>
      <c r="B11" s="38"/>
      <c r="C11" s="38"/>
      <c r="D11" s="38"/>
      <c r="E11" s="38"/>
      <c r="F11" s="34"/>
      <c r="G11" s="34"/>
      <c r="H11" s="34"/>
    </row>
    <row r="12" spans="1:8" x14ac:dyDescent="0.25">
      <c r="A12" s="93" t="s">
        <v>237</v>
      </c>
      <c r="B12" s="38"/>
      <c r="C12" s="38"/>
      <c r="D12" s="38"/>
      <c r="E12" s="38"/>
      <c r="F12" s="34"/>
      <c r="G12" s="34"/>
      <c r="H12" s="34"/>
    </row>
    <row r="13" spans="1:8" x14ac:dyDescent="0.25">
      <c r="A13" s="41" t="s">
        <v>45</v>
      </c>
      <c r="B13" s="38">
        <f>B.sheet!B11</f>
        <v>0</v>
      </c>
      <c r="C13" s="38">
        <f>B.sheet!C11</f>
        <v>0</v>
      </c>
      <c r="D13" s="38">
        <f>B.sheet!D11</f>
        <v>0</v>
      </c>
      <c r="E13" s="38">
        <f>B.sheet!E11</f>
        <v>0</v>
      </c>
      <c r="F13" s="38">
        <f>B.sheet!F11</f>
        <v>0</v>
      </c>
      <c r="G13" s="38">
        <f>B.sheet!G11</f>
        <v>0</v>
      </c>
      <c r="H13" s="34">
        <f>B.sheet!H11</f>
        <v>0</v>
      </c>
    </row>
    <row r="14" spans="1:8" x14ac:dyDescent="0.25">
      <c r="A14" s="41" t="s">
        <v>8</v>
      </c>
      <c r="B14" s="38" t="s">
        <v>8</v>
      </c>
      <c r="C14" s="38" t="s">
        <v>8</v>
      </c>
      <c r="D14" s="38" t="s">
        <v>8</v>
      </c>
      <c r="E14" s="38" t="s">
        <v>8</v>
      </c>
      <c r="F14" s="34" t="s">
        <v>8</v>
      </c>
      <c r="G14" s="34" t="s">
        <v>8</v>
      </c>
      <c r="H14" s="34" t="s">
        <v>8</v>
      </c>
    </row>
    <row r="15" spans="1:8" x14ac:dyDescent="0.25">
      <c r="A15" s="41" t="s">
        <v>60</v>
      </c>
      <c r="B15" s="196">
        <f t="shared" ref="B15:H15" si="1">SUM(B13:B14)</f>
        <v>0</v>
      </c>
      <c r="C15" s="196">
        <f t="shared" si="1"/>
        <v>0</v>
      </c>
      <c r="D15" s="196">
        <f t="shared" si="1"/>
        <v>0</v>
      </c>
      <c r="E15" s="196">
        <f t="shared" si="1"/>
        <v>0</v>
      </c>
      <c r="F15" s="197">
        <f t="shared" si="1"/>
        <v>0</v>
      </c>
      <c r="G15" s="197">
        <f t="shared" si="1"/>
        <v>0</v>
      </c>
      <c r="H15" s="197">
        <f t="shared" si="1"/>
        <v>0</v>
      </c>
    </row>
    <row r="16" spans="1:8" x14ac:dyDescent="0.25">
      <c r="A16" s="41"/>
      <c r="B16" s="33"/>
      <c r="C16" s="33"/>
      <c r="D16" s="33"/>
      <c r="E16" s="33"/>
      <c r="F16" s="33"/>
      <c r="G16" s="33"/>
      <c r="H16" s="33"/>
    </row>
    <row r="17" spans="1:8" x14ac:dyDescent="0.25">
      <c r="A17" s="41" t="s">
        <v>238</v>
      </c>
      <c r="B17" s="34"/>
      <c r="C17" s="34"/>
      <c r="D17" s="34"/>
      <c r="E17" s="34"/>
      <c r="F17" s="34"/>
      <c r="G17" s="34"/>
      <c r="H17" s="34"/>
    </row>
    <row r="18" spans="1:8" x14ac:dyDescent="0.25">
      <c r="A18" s="36" t="s">
        <v>128</v>
      </c>
      <c r="B18" s="188" t="e">
        <f t="shared" ref="B18:G18" si="2">B10/B15</f>
        <v>#DIV/0!</v>
      </c>
      <c r="C18" s="188" t="e">
        <f t="shared" si="2"/>
        <v>#DIV/0!</v>
      </c>
      <c r="D18" s="188" t="e">
        <f t="shared" si="2"/>
        <v>#DIV/0!</v>
      </c>
      <c r="E18" s="188" t="e">
        <f t="shared" si="2"/>
        <v>#DIV/0!</v>
      </c>
      <c r="F18" s="188" t="e">
        <f t="shared" si="2"/>
        <v>#DIV/0!</v>
      </c>
      <c r="G18" s="188" t="e">
        <f t="shared" si="2"/>
        <v>#DIV/0!</v>
      </c>
      <c r="H18" s="188">
        <v>0</v>
      </c>
    </row>
    <row r="19" spans="1:8" x14ac:dyDescent="0.25">
      <c r="A19" s="20"/>
      <c r="B19" s="19"/>
      <c r="C19" s="19"/>
      <c r="D19" s="19"/>
      <c r="E19" s="19"/>
      <c r="F19" s="29"/>
      <c r="G19" s="29"/>
      <c r="H19" s="29"/>
    </row>
    <row r="20" spans="1:8" x14ac:dyDescent="0.25">
      <c r="A20" s="20" t="s">
        <v>120</v>
      </c>
      <c r="B20" s="44" t="e">
        <f>AVERAGE(B18:H18)</f>
        <v>#DIV/0!</v>
      </c>
      <c r="C20" s="19"/>
      <c r="D20" s="19"/>
      <c r="E20" s="19"/>
      <c r="F20" s="32"/>
      <c r="G20" s="32"/>
      <c r="H20" s="32"/>
    </row>
    <row r="21" spans="1:8" x14ac:dyDescent="0.25">
      <c r="A21" s="20"/>
      <c r="B21" s="19"/>
      <c r="C21" s="19"/>
      <c r="D21" s="19"/>
      <c r="E21" s="19"/>
      <c r="F21" s="32"/>
      <c r="G21" s="32"/>
      <c r="H21" s="32"/>
    </row>
    <row r="22" spans="1:8" x14ac:dyDescent="0.25">
      <c r="A22" s="25"/>
      <c r="B22" s="30"/>
      <c r="C22" s="30"/>
      <c r="D22" s="30"/>
      <c r="E22" s="30"/>
      <c r="F22" s="31"/>
      <c r="G22" s="31"/>
      <c r="H22" s="31"/>
    </row>
  </sheetData>
  <mergeCells count="2">
    <mergeCell ref="A5:A6"/>
    <mergeCell ref="B5:H5"/>
  </mergeCells>
  <pageMargins left="0" right="0" top="0.74803149606299213" bottom="0.74803149606299213" header="0.31496062992125984" footer="0.31496062992125984"/>
  <pageSetup paperSize="9" scale="91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zoomScaleNormal="100" workbookViewId="0">
      <selection activeCell="A5" sqref="A5:H6"/>
    </sheetView>
  </sheetViews>
  <sheetFormatPr defaultColWidth="12.5703125" defaultRowHeight="15" x14ac:dyDescent="0.25"/>
  <cols>
    <col min="1" max="1" width="30" style="2" customWidth="1"/>
    <col min="2" max="8" width="14.42578125" style="2" customWidth="1"/>
    <col min="9" max="16384" width="12.5703125" style="2"/>
  </cols>
  <sheetData>
    <row r="1" spans="1:8" x14ac:dyDescent="0.25">
      <c r="A1" s="1" t="str">
        <f>DSCR!A1</f>
        <v>Malan Food Products Pvt Ltd</v>
      </c>
    </row>
    <row r="2" spans="1:8" x14ac:dyDescent="0.25">
      <c r="A2" s="1" t="s">
        <v>39</v>
      </c>
    </row>
    <row r="4" spans="1:8" x14ac:dyDescent="0.25">
      <c r="A4" s="1" t="s">
        <v>112</v>
      </c>
      <c r="B4" s="19"/>
    </row>
    <row r="5" spans="1:8" x14ac:dyDescent="0.25">
      <c r="A5" s="212" t="s">
        <v>28</v>
      </c>
      <c r="B5" s="225" t="s">
        <v>75</v>
      </c>
      <c r="C5" s="219"/>
      <c r="D5" s="219"/>
      <c r="E5" s="219"/>
      <c r="F5" s="219"/>
      <c r="G5" s="219"/>
      <c r="H5" s="220"/>
    </row>
    <row r="6" spans="1:8" x14ac:dyDescent="0.25">
      <c r="A6" s="213"/>
      <c r="B6" s="206">
        <v>1</v>
      </c>
      <c r="C6" s="208">
        <v>2</v>
      </c>
      <c r="D6" s="206">
        <v>3</v>
      </c>
      <c r="E6" s="198">
        <v>4</v>
      </c>
      <c r="F6" s="198">
        <v>5</v>
      </c>
      <c r="G6" s="198">
        <v>6</v>
      </c>
      <c r="H6" s="198">
        <v>7</v>
      </c>
    </row>
    <row r="7" spans="1:8" x14ac:dyDescent="0.25">
      <c r="A7" s="93" t="s">
        <v>113</v>
      </c>
      <c r="B7" s="38"/>
      <c r="C7" s="38"/>
      <c r="D7" s="38"/>
      <c r="E7" s="38"/>
      <c r="F7" s="34"/>
      <c r="G7" s="34"/>
      <c r="H7" s="34"/>
    </row>
    <row r="8" spans="1:8" x14ac:dyDescent="0.25">
      <c r="A8" s="87" t="s">
        <v>108</v>
      </c>
      <c r="B8" s="42">
        <f>B.sheet!B20</f>
        <v>0</v>
      </c>
      <c r="C8" s="42">
        <f>B.sheet!C20</f>
        <v>0</v>
      </c>
      <c r="D8" s="42">
        <f>B.sheet!D20</f>
        <v>0</v>
      </c>
      <c r="E8" s="42">
        <f>B.sheet!E20</f>
        <v>0</v>
      </c>
      <c r="F8" s="15">
        <f>B.sheet!F20</f>
        <v>0</v>
      </c>
      <c r="G8" s="15">
        <f>B.sheet!G20</f>
        <v>0</v>
      </c>
      <c r="H8" s="15">
        <f>B.sheet!H20</f>
        <v>0</v>
      </c>
    </row>
    <row r="9" spans="1:8" x14ac:dyDescent="0.25">
      <c r="A9" s="34" t="s">
        <v>106</v>
      </c>
      <c r="B9" s="42">
        <f>B.sheet!B21</f>
        <v>0</v>
      </c>
      <c r="C9" s="42">
        <f>B.sheet!C21</f>
        <v>0</v>
      </c>
      <c r="D9" s="42">
        <f>B.sheet!D21</f>
        <v>0</v>
      </c>
      <c r="E9" s="42">
        <f>B.sheet!E21</f>
        <v>0</v>
      </c>
      <c r="F9" s="15">
        <f>B.sheet!F21</f>
        <v>0</v>
      </c>
      <c r="G9" s="15">
        <f>B.sheet!G21</f>
        <v>0</v>
      </c>
      <c r="H9" s="15">
        <f>B.sheet!H21</f>
        <v>0</v>
      </c>
    </row>
    <row r="10" spans="1:8" x14ac:dyDescent="0.25">
      <c r="A10" s="34"/>
      <c r="B10" s="42"/>
      <c r="C10" s="42"/>
      <c r="D10" s="42"/>
      <c r="E10" s="42"/>
      <c r="F10" s="15"/>
      <c r="G10" s="15"/>
      <c r="H10" s="15"/>
    </row>
    <row r="11" spans="1:8" x14ac:dyDescent="0.25">
      <c r="A11" s="41" t="s">
        <v>70</v>
      </c>
      <c r="B11" s="192">
        <f>SUM(B7:B9)</f>
        <v>0</v>
      </c>
      <c r="C11" s="192">
        <f>SUM(C7:C9)</f>
        <v>0</v>
      </c>
      <c r="D11" s="192">
        <f>SUM(D7:D9)</f>
        <v>0</v>
      </c>
      <c r="E11" s="192">
        <f>SUM(E7:E9)</f>
        <v>0</v>
      </c>
      <c r="F11" s="188">
        <f>SUM(F7:F9)</f>
        <v>0</v>
      </c>
      <c r="G11" s="188">
        <f t="shared" ref="G11:H11" si="0">SUM(G7:G9)</f>
        <v>0</v>
      </c>
      <c r="H11" s="188">
        <f t="shared" si="0"/>
        <v>0</v>
      </c>
    </row>
    <row r="12" spans="1:8" x14ac:dyDescent="0.25">
      <c r="A12" s="41"/>
      <c r="B12" s="38"/>
      <c r="C12" s="38"/>
      <c r="D12" s="38"/>
      <c r="E12" s="38"/>
      <c r="F12" s="34"/>
      <c r="G12" s="34"/>
      <c r="H12" s="34"/>
    </row>
    <row r="13" spans="1:8" x14ac:dyDescent="0.25">
      <c r="A13" s="93" t="s">
        <v>231</v>
      </c>
      <c r="B13" s="38"/>
      <c r="C13" s="38"/>
      <c r="D13" s="38"/>
      <c r="E13" s="38"/>
      <c r="F13" s="34"/>
      <c r="G13" s="34"/>
      <c r="H13" s="34"/>
    </row>
    <row r="14" spans="1:8" x14ac:dyDescent="0.25">
      <c r="A14" s="41" t="s">
        <v>45</v>
      </c>
      <c r="B14" s="38">
        <f>+Cash!B19</f>
        <v>0</v>
      </c>
      <c r="C14" s="38">
        <f>+Cash!C19</f>
        <v>0</v>
      </c>
      <c r="D14" s="38">
        <f>+Cash!D19</f>
        <v>0</v>
      </c>
      <c r="E14" s="38">
        <f>+Cash!E19</f>
        <v>0</v>
      </c>
      <c r="F14" s="34">
        <f>+Cash!F19</f>
        <v>0</v>
      </c>
      <c r="G14" s="34">
        <f>+Cash!G19</f>
        <v>0</v>
      </c>
      <c r="H14" s="34">
        <f>+Cash!H19</f>
        <v>0</v>
      </c>
    </row>
    <row r="15" spans="1:8" x14ac:dyDescent="0.25">
      <c r="A15" s="41" t="s">
        <v>167</v>
      </c>
      <c r="B15" s="38">
        <f>B.sheet!B12</f>
        <v>0</v>
      </c>
      <c r="C15" s="38">
        <f>B.sheet!C12</f>
        <v>0</v>
      </c>
      <c r="D15" s="38">
        <f>B.sheet!D12</f>
        <v>0</v>
      </c>
      <c r="E15" s="38">
        <f>B.sheet!E12</f>
        <v>0</v>
      </c>
      <c r="F15" s="38">
        <f>B.sheet!F12</f>
        <v>0</v>
      </c>
      <c r="G15" s="38">
        <f>B.sheet!G12</f>
        <v>0</v>
      </c>
      <c r="H15" s="34">
        <f>B.sheet!H12</f>
        <v>0</v>
      </c>
    </row>
    <row r="16" spans="1:8" x14ac:dyDescent="0.25">
      <c r="A16" s="41" t="s">
        <v>8</v>
      </c>
      <c r="B16" s="38" t="s">
        <v>8</v>
      </c>
      <c r="C16" s="38" t="s">
        <v>8</v>
      </c>
      <c r="D16" s="38" t="s">
        <v>8</v>
      </c>
      <c r="E16" s="38" t="s">
        <v>8</v>
      </c>
      <c r="F16" s="34" t="s">
        <v>8</v>
      </c>
      <c r="G16" s="34" t="s">
        <v>8</v>
      </c>
      <c r="H16" s="34" t="s">
        <v>8</v>
      </c>
    </row>
    <row r="17" spans="1:8" x14ac:dyDescent="0.25">
      <c r="A17" s="41" t="s">
        <v>60</v>
      </c>
      <c r="B17" s="196">
        <f>SUM(B14:B16)</f>
        <v>0</v>
      </c>
      <c r="C17" s="196">
        <f>SUM(C14:C16)</f>
        <v>0</v>
      </c>
      <c r="D17" s="196">
        <f>SUM(D14:D16)</f>
        <v>0</v>
      </c>
      <c r="E17" s="196">
        <f>SUM(E14:E16)</f>
        <v>0</v>
      </c>
      <c r="F17" s="197">
        <f>SUM(F14:F16)</f>
        <v>0</v>
      </c>
      <c r="G17" s="197">
        <f t="shared" ref="G17" si="1">SUM(G14:G16)</f>
        <v>0</v>
      </c>
      <c r="H17" s="197">
        <f>SUM(H14:H16)</f>
        <v>0</v>
      </c>
    </row>
    <row r="18" spans="1:8" x14ac:dyDescent="0.25">
      <c r="A18" s="41"/>
      <c r="B18" s="33"/>
      <c r="C18" s="33"/>
      <c r="D18" s="33"/>
      <c r="E18" s="33"/>
      <c r="F18" s="33"/>
      <c r="G18" s="33"/>
      <c r="H18" s="33"/>
    </row>
    <row r="19" spans="1:8" x14ac:dyDescent="0.25">
      <c r="A19" s="41" t="s">
        <v>114</v>
      </c>
      <c r="B19" s="34"/>
      <c r="C19" s="34"/>
      <c r="D19" s="34"/>
      <c r="E19" s="34"/>
      <c r="F19" s="34"/>
      <c r="G19" s="34"/>
      <c r="H19" s="34"/>
    </row>
    <row r="20" spans="1:8" x14ac:dyDescent="0.25">
      <c r="A20" s="36" t="s">
        <v>128</v>
      </c>
      <c r="B20" s="188" t="e">
        <f>B11/B17</f>
        <v>#DIV/0!</v>
      </c>
      <c r="C20" s="188" t="e">
        <f>C11/C17</f>
        <v>#DIV/0!</v>
      </c>
      <c r="D20" s="188" t="e">
        <f>D11/D17</f>
        <v>#DIV/0!</v>
      </c>
      <c r="E20" s="188" t="e">
        <f>E11/E17</f>
        <v>#DIV/0!</v>
      </c>
      <c r="F20" s="188" t="e">
        <f>F11/F17</f>
        <v>#DIV/0!</v>
      </c>
      <c r="G20" s="188" t="e">
        <f t="shared" ref="G20:H20" si="2">G11/G17</f>
        <v>#DIV/0!</v>
      </c>
      <c r="H20" s="188" t="e">
        <f t="shared" si="2"/>
        <v>#DIV/0!</v>
      </c>
    </row>
    <row r="21" spans="1:8" x14ac:dyDescent="0.25">
      <c r="A21" s="20"/>
      <c r="B21" s="19"/>
      <c r="C21" s="19"/>
      <c r="D21" s="19"/>
      <c r="E21" s="19"/>
      <c r="F21" s="29"/>
      <c r="G21" s="29"/>
      <c r="H21" s="29"/>
    </row>
    <row r="22" spans="1:8" x14ac:dyDescent="0.25">
      <c r="A22" s="20" t="s">
        <v>120</v>
      </c>
      <c r="B22" s="44" t="e">
        <f>AVERAGE(B20:H20)</f>
        <v>#DIV/0!</v>
      </c>
      <c r="C22" s="19"/>
      <c r="D22" s="19"/>
      <c r="E22" s="19"/>
      <c r="F22" s="32"/>
      <c r="G22" s="32"/>
      <c r="H22" s="32"/>
    </row>
    <row r="23" spans="1:8" x14ac:dyDescent="0.25">
      <c r="A23" s="20"/>
      <c r="B23" s="19"/>
      <c r="C23" s="19"/>
      <c r="D23" s="19"/>
      <c r="E23" s="19"/>
      <c r="F23" s="32"/>
      <c r="G23" s="32"/>
      <c r="H23" s="32"/>
    </row>
    <row r="24" spans="1:8" x14ac:dyDescent="0.25">
      <c r="A24" s="25"/>
      <c r="B24" s="30"/>
      <c r="C24" s="30"/>
      <c r="D24" s="30"/>
      <c r="E24" s="30"/>
      <c r="F24" s="31"/>
      <c r="G24" s="31"/>
      <c r="H24" s="31"/>
    </row>
  </sheetData>
  <mergeCells count="2">
    <mergeCell ref="A5:A6"/>
    <mergeCell ref="B5:H5"/>
  </mergeCells>
  <pageMargins left="0" right="0" top="0.74803149606299213" bottom="0.74803149606299213" header="0.31496062992125984" footer="0.31496062992125984"/>
  <pageSetup paperSize="9" scale="91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zoomScaleNormal="100" workbookViewId="0">
      <selection activeCell="D13" sqref="D13"/>
    </sheetView>
  </sheetViews>
  <sheetFormatPr defaultColWidth="12.5703125" defaultRowHeight="15" x14ac:dyDescent="0.25"/>
  <cols>
    <col min="1" max="1" width="30" style="2" customWidth="1"/>
    <col min="2" max="8" width="14.42578125" style="2" customWidth="1"/>
    <col min="9" max="16384" width="12.5703125" style="2"/>
  </cols>
  <sheetData>
    <row r="1" spans="1:8" x14ac:dyDescent="0.25">
      <c r="A1" s="1" t="str">
        <f>DSCR!A1</f>
        <v>Malan Food Products Pvt Ltd</v>
      </c>
    </row>
    <row r="2" spans="1:8" x14ac:dyDescent="0.25">
      <c r="A2" s="1" t="s">
        <v>39</v>
      </c>
    </row>
    <row r="4" spans="1:8" x14ac:dyDescent="0.25">
      <c r="A4" s="1" t="s">
        <v>240</v>
      </c>
      <c r="B4" s="19"/>
    </row>
    <row r="5" spans="1:8" x14ac:dyDescent="0.25">
      <c r="A5" s="212" t="s">
        <v>28</v>
      </c>
      <c r="B5" s="225" t="s">
        <v>75</v>
      </c>
      <c r="C5" s="219"/>
      <c r="D5" s="219"/>
      <c r="E5" s="219"/>
      <c r="F5" s="219"/>
      <c r="G5" s="219"/>
      <c r="H5" s="220"/>
    </row>
    <row r="6" spans="1:8" x14ac:dyDescent="0.25">
      <c r="A6" s="213"/>
      <c r="B6" s="206">
        <v>1</v>
      </c>
      <c r="C6" s="208">
        <v>2</v>
      </c>
      <c r="D6" s="206">
        <v>3</v>
      </c>
      <c r="E6" s="198">
        <v>4</v>
      </c>
      <c r="F6" s="198">
        <v>5</v>
      </c>
      <c r="G6" s="198">
        <v>6</v>
      </c>
      <c r="H6" s="198">
        <v>7</v>
      </c>
    </row>
    <row r="7" spans="1:8" x14ac:dyDescent="0.25">
      <c r="A7" s="93" t="s">
        <v>230</v>
      </c>
      <c r="B7" s="38"/>
      <c r="C7" s="38"/>
      <c r="D7" s="38"/>
      <c r="E7" s="38"/>
      <c r="F7" s="34"/>
      <c r="G7" s="34"/>
      <c r="H7" s="34"/>
    </row>
    <row r="8" spans="1:8" x14ac:dyDescent="0.25">
      <c r="A8" s="34" t="s">
        <v>106</v>
      </c>
      <c r="B8" s="42">
        <f>B.sheet!B21</f>
        <v>0</v>
      </c>
      <c r="C8" s="42">
        <f>B.sheet!C21</f>
        <v>0</v>
      </c>
      <c r="D8" s="42">
        <f>B.sheet!D21</f>
        <v>0</v>
      </c>
      <c r="E8" s="42">
        <f>B.sheet!E21</f>
        <v>0</v>
      </c>
      <c r="F8" s="15">
        <f>B.sheet!F21</f>
        <v>0</v>
      </c>
      <c r="G8" s="15">
        <f>B.sheet!G21</f>
        <v>0</v>
      </c>
      <c r="H8" s="15">
        <f>B.sheet!H21</f>
        <v>0</v>
      </c>
    </row>
    <row r="9" spans="1:8" x14ac:dyDescent="0.25">
      <c r="A9" s="34"/>
      <c r="B9" s="42"/>
      <c r="C9" s="42"/>
      <c r="D9" s="42"/>
      <c r="E9" s="42"/>
      <c r="F9" s="15"/>
      <c r="G9" s="15"/>
      <c r="H9" s="15"/>
    </row>
    <row r="10" spans="1:8" x14ac:dyDescent="0.25">
      <c r="A10" s="41" t="s">
        <v>70</v>
      </c>
      <c r="B10" s="192">
        <f t="shared" ref="B10:H10" si="0">SUM(B7:B8)</f>
        <v>0</v>
      </c>
      <c r="C10" s="192">
        <f t="shared" si="0"/>
        <v>0</v>
      </c>
      <c r="D10" s="192">
        <f t="shared" si="0"/>
        <v>0</v>
      </c>
      <c r="E10" s="192">
        <f t="shared" si="0"/>
        <v>0</v>
      </c>
      <c r="F10" s="188">
        <f t="shared" si="0"/>
        <v>0</v>
      </c>
      <c r="G10" s="188">
        <f t="shared" si="0"/>
        <v>0</v>
      </c>
      <c r="H10" s="188">
        <f t="shared" si="0"/>
        <v>0</v>
      </c>
    </row>
    <row r="11" spans="1:8" x14ac:dyDescent="0.25">
      <c r="A11" s="41"/>
      <c r="B11" s="38"/>
      <c r="C11" s="38"/>
      <c r="D11" s="38"/>
      <c r="E11" s="38"/>
      <c r="F11" s="34"/>
      <c r="G11" s="34"/>
      <c r="H11" s="34"/>
    </row>
    <row r="12" spans="1:8" x14ac:dyDescent="0.25">
      <c r="A12" s="93" t="s">
        <v>231</v>
      </c>
      <c r="B12" s="38"/>
      <c r="C12" s="38"/>
      <c r="D12" s="38"/>
      <c r="E12" s="38"/>
      <c r="F12" s="34"/>
      <c r="G12" s="34"/>
      <c r="H12" s="34"/>
    </row>
    <row r="13" spans="1:8" x14ac:dyDescent="0.25">
      <c r="A13" s="41" t="s">
        <v>45</v>
      </c>
      <c r="B13" s="38">
        <f>+Cash!B19</f>
        <v>0</v>
      </c>
      <c r="C13" s="38">
        <f>+Cash!C19</f>
        <v>0</v>
      </c>
      <c r="D13" s="38">
        <f>+Cash!D19</f>
        <v>0</v>
      </c>
      <c r="E13" s="38">
        <f>+Cash!E19</f>
        <v>0</v>
      </c>
      <c r="F13" s="34">
        <f>+Cash!F19</f>
        <v>0</v>
      </c>
      <c r="G13" s="34">
        <f>+Cash!G19</f>
        <v>0</v>
      </c>
      <c r="H13" s="34">
        <f>+Cash!H19</f>
        <v>0</v>
      </c>
    </row>
    <row r="14" spans="1:8" x14ac:dyDescent="0.25">
      <c r="A14" s="41" t="s">
        <v>167</v>
      </c>
      <c r="B14" s="38">
        <f>B.sheet!B12</f>
        <v>0</v>
      </c>
      <c r="C14" s="38">
        <f>B.sheet!C12</f>
        <v>0</v>
      </c>
      <c r="D14" s="38">
        <f>B.sheet!D12</f>
        <v>0</v>
      </c>
      <c r="E14" s="38">
        <f>B.sheet!E12</f>
        <v>0</v>
      </c>
      <c r="F14" s="38">
        <f>B.sheet!F12</f>
        <v>0</v>
      </c>
      <c r="G14" s="38">
        <f>B.sheet!G12</f>
        <v>0</v>
      </c>
      <c r="H14" s="34">
        <f>B.sheet!H12</f>
        <v>0</v>
      </c>
    </row>
    <row r="15" spans="1:8" x14ac:dyDescent="0.25">
      <c r="A15" s="41" t="s">
        <v>8</v>
      </c>
      <c r="B15" s="38" t="s">
        <v>8</v>
      </c>
      <c r="C15" s="38" t="s">
        <v>8</v>
      </c>
      <c r="D15" s="38" t="s">
        <v>8</v>
      </c>
      <c r="E15" s="38" t="s">
        <v>8</v>
      </c>
      <c r="F15" s="34" t="s">
        <v>8</v>
      </c>
      <c r="G15" s="34" t="s">
        <v>8</v>
      </c>
      <c r="H15" s="34" t="s">
        <v>8</v>
      </c>
    </row>
    <row r="16" spans="1:8" x14ac:dyDescent="0.25">
      <c r="A16" s="41" t="s">
        <v>60</v>
      </c>
      <c r="B16" s="196">
        <f>SUM(B13:B15)</f>
        <v>0</v>
      </c>
      <c r="C16" s="196">
        <f>SUM(C13:C15)</f>
        <v>0</v>
      </c>
      <c r="D16" s="196">
        <f>SUM(D13:D15)</f>
        <v>0</v>
      </c>
      <c r="E16" s="196">
        <f>SUM(E13:E15)</f>
        <v>0</v>
      </c>
      <c r="F16" s="197">
        <f>SUM(F13:F15)</f>
        <v>0</v>
      </c>
      <c r="G16" s="197">
        <f t="shared" ref="G16" si="1">SUM(G13:G15)</f>
        <v>0</v>
      </c>
      <c r="H16" s="197">
        <f>SUM(H13:H15)</f>
        <v>0</v>
      </c>
    </row>
    <row r="17" spans="1:8" x14ac:dyDescent="0.25">
      <c r="A17" s="41"/>
      <c r="B17" s="33"/>
      <c r="C17" s="33"/>
      <c r="D17" s="33"/>
      <c r="E17" s="33"/>
      <c r="F17" s="33"/>
      <c r="G17" s="33"/>
      <c r="H17" s="33"/>
    </row>
    <row r="18" spans="1:8" x14ac:dyDescent="0.25">
      <c r="A18" s="41" t="s">
        <v>239</v>
      </c>
      <c r="B18" s="34"/>
      <c r="C18" s="34"/>
      <c r="D18" s="34"/>
      <c r="E18" s="34"/>
      <c r="F18" s="34"/>
      <c r="G18" s="34"/>
      <c r="H18" s="34"/>
    </row>
    <row r="19" spans="1:8" x14ac:dyDescent="0.25">
      <c r="A19" s="36" t="s">
        <v>128</v>
      </c>
      <c r="B19" s="188" t="e">
        <f>B10/B16</f>
        <v>#DIV/0!</v>
      </c>
      <c r="C19" s="188" t="e">
        <f>C10/C16</f>
        <v>#DIV/0!</v>
      </c>
      <c r="D19" s="188" t="e">
        <f>D10/D16</f>
        <v>#DIV/0!</v>
      </c>
      <c r="E19" s="188" t="e">
        <f>E10/E16</f>
        <v>#DIV/0!</v>
      </c>
      <c r="F19" s="188" t="e">
        <f>F10/F16</f>
        <v>#DIV/0!</v>
      </c>
      <c r="G19" s="188" t="e">
        <f t="shared" ref="G19:H19" si="2">G10/G16</f>
        <v>#DIV/0!</v>
      </c>
      <c r="H19" s="188" t="e">
        <f t="shared" si="2"/>
        <v>#DIV/0!</v>
      </c>
    </row>
    <row r="20" spans="1:8" x14ac:dyDescent="0.25">
      <c r="A20" s="20"/>
      <c r="B20" s="19"/>
      <c r="C20" s="19"/>
      <c r="D20" s="19"/>
      <c r="E20" s="19"/>
      <c r="F20" s="29"/>
      <c r="G20" s="29"/>
      <c r="H20" s="29"/>
    </row>
    <row r="21" spans="1:8" x14ac:dyDescent="0.25">
      <c r="A21" s="20" t="s">
        <v>120</v>
      </c>
      <c r="B21" s="44" t="e">
        <f>AVERAGE(B19:H19)</f>
        <v>#DIV/0!</v>
      </c>
      <c r="C21" s="19"/>
      <c r="D21" s="19"/>
      <c r="E21" s="19"/>
      <c r="F21" s="32"/>
      <c r="G21" s="32"/>
      <c r="H21" s="32"/>
    </row>
    <row r="22" spans="1:8" x14ac:dyDescent="0.25">
      <c r="A22" s="20"/>
      <c r="B22" s="19"/>
      <c r="C22" s="19"/>
      <c r="D22" s="19"/>
      <c r="E22" s="19"/>
      <c r="F22" s="32"/>
      <c r="G22" s="32"/>
      <c r="H22" s="32"/>
    </row>
    <row r="23" spans="1:8" x14ac:dyDescent="0.25">
      <c r="A23" s="25"/>
      <c r="B23" s="30"/>
      <c r="C23" s="30"/>
      <c r="D23" s="30"/>
      <c r="E23" s="30"/>
      <c r="F23" s="31"/>
      <c r="G23" s="31"/>
      <c r="H23" s="31"/>
    </row>
  </sheetData>
  <mergeCells count="2">
    <mergeCell ref="A5:A6"/>
    <mergeCell ref="B5:H5"/>
  </mergeCells>
  <pageMargins left="0" right="0" top="0.74803149606299213" bottom="0.74803149606299213" header="0.31496062992125984" footer="0.31496062992125984"/>
  <pageSetup paperSize="9" scale="91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zoomScaleNormal="100" workbookViewId="0">
      <selection activeCell="A5" sqref="A5:H6"/>
    </sheetView>
  </sheetViews>
  <sheetFormatPr defaultColWidth="12.5703125" defaultRowHeight="15" x14ac:dyDescent="0.25"/>
  <cols>
    <col min="1" max="1" width="26.7109375" style="2" customWidth="1"/>
    <col min="2" max="8" width="15.7109375" style="2" customWidth="1"/>
    <col min="9" max="16384" width="12.5703125" style="2"/>
  </cols>
  <sheetData>
    <row r="1" spans="1:8" x14ac:dyDescent="0.25">
      <c r="A1" s="1" t="str">
        <f>DSCR!A1</f>
        <v>Malan Food Products Pvt Ltd</v>
      </c>
    </row>
    <row r="2" spans="1:8" x14ac:dyDescent="0.25">
      <c r="A2" s="1" t="s">
        <v>134</v>
      </c>
    </row>
    <row r="4" spans="1:8" x14ac:dyDescent="0.25">
      <c r="A4" s="1" t="s">
        <v>115</v>
      </c>
      <c r="B4" s="19"/>
    </row>
    <row r="5" spans="1:8" x14ac:dyDescent="0.25">
      <c r="A5" s="217" t="s">
        <v>28</v>
      </c>
      <c r="B5" s="225" t="s">
        <v>75</v>
      </c>
      <c r="C5" s="219"/>
      <c r="D5" s="219"/>
      <c r="E5" s="219"/>
      <c r="F5" s="219"/>
      <c r="G5" s="219"/>
      <c r="H5" s="220"/>
    </row>
    <row r="6" spans="1:8" x14ac:dyDescent="0.25">
      <c r="A6" s="218"/>
      <c r="B6" s="206">
        <v>1</v>
      </c>
      <c r="C6" s="208">
        <v>2</v>
      </c>
      <c r="D6" s="206">
        <v>3</v>
      </c>
      <c r="E6" s="198">
        <v>4</v>
      </c>
      <c r="F6" s="198">
        <v>5</v>
      </c>
      <c r="G6" s="198">
        <v>6</v>
      </c>
      <c r="H6" s="198">
        <v>7</v>
      </c>
    </row>
    <row r="7" spans="1:8" x14ac:dyDescent="0.25">
      <c r="A7" s="93" t="s">
        <v>116</v>
      </c>
      <c r="B7" s="38"/>
      <c r="C7" s="38"/>
      <c r="D7" s="38"/>
      <c r="E7" s="38"/>
      <c r="F7" s="34"/>
      <c r="G7" s="34"/>
      <c r="H7" s="34"/>
    </row>
    <row r="8" spans="1:8" x14ac:dyDescent="0.25">
      <c r="A8" s="87" t="s">
        <v>117</v>
      </c>
      <c r="B8" s="42">
        <f>B.sheet!B11</f>
        <v>0</v>
      </c>
      <c r="C8" s="42">
        <f>B.sheet!C11</f>
        <v>0</v>
      </c>
      <c r="D8" s="42">
        <f>B.sheet!D11</f>
        <v>0</v>
      </c>
      <c r="E8" s="42">
        <f>B.sheet!E11</f>
        <v>0</v>
      </c>
      <c r="F8" s="42">
        <f>B.sheet!F11</f>
        <v>0</v>
      </c>
      <c r="G8" s="42">
        <f>B.sheet!G11</f>
        <v>0</v>
      </c>
      <c r="H8" s="15">
        <f>B.sheet!H11</f>
        <v>0</v>
      </c>
    </row>
    <row r="9" spans="1:8" x14ac:dyDescent="0.25">
      <c r="A9" s="87" t="s">
        <v>161</v>
      </c>
      <c r="B9" s="42">
        <f>B.sheet!B12</f>
        <v>0</v>
      </c>
      <c r="C9" s="42">
        <f>B.sheet!C12</f>
        <v>0</v>
      </c>
      <c r="D9" s="42">
        <f>B.sheet!D12</f>
        <v>0</v>
      </c>
      <c r="E9" s="42">
        <f>B.sheet!E12</f>
        <v>0</v>
      </c>
      <c r="F9" s="42">
        <f>B.sheet!F12</f>
        <v>0</v>
      </c>
      <c r="G9" s="42">
        <f>B.sheet!G12</f>
        <v>0</v>
      </c>
      <c r="H9" s="15">
        <f>B.sheet!H12</f>
        <v>0</v>
      </c>
    </row>
    <row r="10" spans="1:8" x14ac:dyDescent="0.25">
      <c r="A10" s="34"/>
      <c r="B10" s="42"/>
      <c r="C10" s="42"/>
      <c r="D10" s="42"/>
      <c r="E10" s="42"/>
      <c r="F10" s="15"/>
      <c r="G10" s="15"/>
      <c r="H10" s="15"/>
    </row>
    <row r="11" spans="1:8" x14ac:dyDescent="0.25">
      <c r="A11" s="41" t="s">
        <v>70</v>
      </c>
      <c r="B11" s="192">
        <f>SUM(B8:B10)</f>
        <v>0</v>
      </c>
      <c r="C11" s="192">
        <f t="shared" ref="C11:H11" si="0">SUM(C8:C10)</f>
        <v>0</v>
      </c>
      <c r="D11" s="192">
        <f t="shared" si="0"/>
        <v>0</v>
      </c>
      <c r="E11" s="192">
        <f t="shared" si="0"/>
        <v>0</v>
      </c>
      <c r="F11" s="192">
        <f t="shared" si="0"/>
        <v>0</v>
      </c>
      <c r="G11" s="192">
        <f t="shared" si="0"/>
        <v>0</v>
      </c>
      <c r="H11" s="188">
        <f t="shared" si="0"/>
        <v>0</v>
      </c>
    </row>
    <row r="12" spans="1:8" x14ac:dyDescent="0.25">
      <c r="A12" s="41"/>
      <c r="B12" s="38"/>
      <c r="C12" s="38"/>
      <c r="D12" s="38"/>
      <c r="E12" s="38"/>
      <c r="F12" s="34"/>
      <c r="G12" s="34"/>
      <c r="H12" s="34"/>
    </row>
    <row r="13" spans="1:8" x14ac:dyDescent="0.25">
      <c r="A13" s="93" t="s">
        <v>118</v>
      </c>
      <c r="B13" s="38"/>
      <c r="C13" s="38"/>
      <c r="D13" s="38"/>
      <c r="E13" s="38"/>
      <c r="F13" s="34"/>
      <c r="G13" s="34"/>
      <c r="H13" s="34"/>
    </row>
    <row r="14" spans="1:8" x14ac:dyDescent="0.25">
      <c r="A14" s="41" t="s">
        <v>119</v>
      </c>
      <c r="B14" s="38">
        <f>B.sheet!B10</f>
        <v>0</v>
      </c>
      <c r="C14" s="38">
        <f>B.sheet!C10</f>
        <v>0</v>
      </c>
      <c r="D14" s="38">
        <f>B.sheet!D10</f>
        <v>0</v>
      </c>
      <c r="E14" s="38">
        <f>B.sheet!E10</f>
        <v>0</v>
      </c>
      <c r="F14" s="38">
        <f>B.sheet!F10</f>
        <v>0</v>
      </c>
      <c r="G14" s="38">
        <f>B.sheet!G10</f>
        <v>0</v>
      </c>
      <c r="H14" s="34">
        <f>B.sheet!H10</f>
        <v>0</v>
      </c>
    </row>
    <row r="15" spans="1:8" x14ac:dyDescent="0.25">
      <c r="A15" s="41" t="s">
        <v>8</v>
      </c>
      <c r="B15" s="38" t="s">
        <v>8</v>
      </c>
      <c r="C15" s="38" t="s">
        <v>8</v>
      </c>
      <c r="D15" s="38" t="s">
        <v>8</v>
      </c>
      <c r="E15" s="38" t="s">
        <v>8</v>
      </c>
      <c r="F15" s="34" t="s">
        <v>8</v>
      </c>
      <c r="G15" s="34" t="s">
        <v>8</v>
      </c>
      <c r="H15" s="34" t="s">
        <v>8</v>
      </c>
    </row>
    <row r="16" spans="1:8" x14ac:dyDescent="0.25">
      <c r="A16" s="41" t="s">
        <v>60</v>
      </c>
      <c r="B16" s="196">
        <f>SUM(B14:B15)</f>
        <v>0</v>
      </c>
      <c r="C16" s="196">
        <f>SUM(C14:C15)</f>
        <v>0</v>
      </c>
      <c r="D16" s="196">
        <f>SUM(D14:D15)</f>
        <v>0</v>
      </c>
      <c r="E16" s="196">
        <f>SUM(E14:E15)</f>
        <v>0</v>
      </c>
      <c r="F16" s="197">
        <f>SUM(F14:F15)</f>
        <v>0</v>
      </c>
      <c r="G16" s="197">
        <f t="shared" ref="G16:H16" si="1">SUM(G14:G15)</f>
        <v>0</v>
      </c>
      <c r="H16" s="197">
        <f t="shared" si="1"/>
        <v>0</v>
      </c>
    </row>
    <row r="17" spans="1:8" x14ac:dyDescent="0.25">
      <c r="A17" s="41"/>
      <c r="B17" s="33"/>
      <c r="C17" s="33"/>
      <c r="D17" s="33"/>
      <c r="E17" s="33"/>
      <c r="F17" s="33"/>
      <c r="G17" s="33"/>
      <c r="H17" s="33"/>
    </row>
    <row r="18" spans="1:8" x14ac:dyDescent="0.25">
      <c r="A18" s="41" t="s">
        <v>232</v>
      </c>
      <c r="B18" s="34"/>
      <c r="C18" s="34"/>
      <c r="D18" s="34"/>
      <c r="E18" s="34"/>
      <c r="F18" s="34"/>
      <c r="G18" s="34"/>
      <c r="H18" s="34"/>
    </row>
    <row r="19" spans="1:8" x14ac:dyDescent="0.25">
      <c r="A19" s="36" t="s">
        <v>127</v>
      </c>
      <c r="B19" s="188" t="e">
        <f>B11/B16</f>
        <v>#DIV/0!</v>
      </c>
      <c r="C19" s="188" t="e">
        <f>C11/C16</f>
        <v>#DIV/0!</v>
      </c>
      <c r="D19" s="188" t="e">
        <f>D11/D16</f>
        <v>#DIV/0!</v>
      </c>
      <c r="E19" s="188" t="e">
        <f>E11/E16</f>
        <v>#DIV/0!</v>
      </c>
      <c r="F19" s="188" t="e">
        <f>F11/F16</f>
        <v>#DIV/0!</v>
      </c>
      <c r="G19" s="188" t="e">
        <f t="shared" ref="G19:H19" si="2">G11/G16</f>
        <v>#DIV/0!</v>
      </c>
      <c r="H19" s="188" t="e">
        <f t="shared" si="2"/>
        <v>#DIV/0!</v>
      </c>
    </row>
    <row r="20" spans="1:8" x14ac:dyDescent="0.25">
      <c r="A20" s="20"/>
      <c r="B20" s="19"/>
      <c r="C20" s="19"/>
      <c r="D20" s="19"/>
      <c r="E20" s="19"/>
      <c r="F20" s="29"/>
      <c r="G20" s="29"/>
      <c r="H20" s="29"/>
    </row>
    <row r="21" spans="1:8" x14ac:dyDescent="0.25">
      <c r="A21" s="20" t="s">
        <v>121</v>
      </c>
      <c r="B21" s="44" t="e">
        <f>AVERAGE(B19:H19)</f>
        <v>#DIV/0!</v>
      </c>
      <c r="C21" s="19"/>
      <c r="D21" s="19"/>
      <c r="E21" s="19"/>
      <c r="F21" s="32"/>
      <c r="G21" s="32"/>
      <c r="H21" s="32"/>
    </row>
    <row r="22" spans="1:8" x14ac:dyDescent="0.25">
      <c r="A22" s="20"/>
      <c r="B22" s="19"/>
      <c r="C22" s="19"/>
      <c r="D22" s="19"/>
      <c r="E22" s="19"/>
      <c r="F22" s="32"/>
      <c r="G22" s="32"/>
      <c r="H22" s="32"/>
    </row>
    <row r="23" spans="1:8" x14ac:dyDescent="0.25">
      <c r="A23" s="25"/>
      <c r="B23" s="30"/>
      <c r="C23" s="30"/>
      <c r="D23" s="30"/>
      <c r="E23" s="30"/>
      <c r="F23" s="31"/>
      <c r="G23" s="31"/>
      <c r="H23" s="31"/>
    </row>
  </sheetData>
  <mergeCells count="2">
    <mergeCell ref="A5:A6"/>
    <mergeCell ref="B5:H5"/>
  </mergeCells>
  <pageMargins left="0" right="0" top="0.74803149606299213" bottom="0.74803149606299213" header="0.31496062992125984" footer="0.31496062992125984"/>
  <pageSetup paperSize="9" scale="86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zoomScaleNormal="100" workbookViewId="0">
      <selection activeCell="A15" sqref="A15"/>
    </sheetView>
  </sheetViews>
  <sheetFormatPr defaultColWidth="12.5703125" defaultRowHeight="15" x14ac:dyDescent="0.25"/>
  <cols>
    <col min="1" max="1" width="26" style="2" customWidth="1"/>
    <col min="2" max="8" width="15" style="2" customWidth="1"/>
    <col min="9" max="16384" width="12.5703125" style="2"/>
  </cols>
  <sheetData>
    <row r="1" spans="1:8" x14ac:dyDescent="0.25">
      <c r="A1" s="1" t="str">
        <f>DSCR!A1</f>
        <v>Malan Food Products Pvt Ltd</v>
      </c>
    </row>
    <row r="2" spans="1:8" x14ac:dyDescent="0.25">
      <c r="A2" s="1" t="s">
        <v>135</v>
      </c>
    </row>
    <row r="4" spans="1:8" x14ac:dyDescent="0.25">
      <c r="A4" s="1" t="s">
        <v>122</v>
      </c>
      <c r="B4" s="19"/>
    </row>
    <row r="5" spans="1:8" x14ac:dyDescent="0.25">
      <c r="A5" s="217" t="s">
        <v>28</v>
      </c>
      <c r="B5" s="225" t="s">
        <v>75</v>
      </c>
      <c r="C5" s="219"/>
      <c r="D5" s="219"/>
      <c r="E5" s="219"/>
      <c r="F5" s="219"/>
      <c r="G5" s="219"/>
      <c r="H5" s="220"/>
    </row>
    <row r="6" spans="1:8" x14ac:dyDescent="0.25">
      <c r="A6" s="218"/>
      <c r="B6" s="206">
        <v>1</v>
      </c>
      <c r="C6" s="208">
        <v>2</v>
      </c>
      <c r="D6" s="206">
        <v>3</v>
      </c>
      <c r="E6" s="198">
        <v>4</v>
      </c>
      <c r="F6" s="198">
        <v>5</v>
      </c>
      <c r="G6" s="198">
        <v>6</v>
      </c>
      <c r="H6" s="198">
        <v>7</v>
      </c>
    </row>
    <row r="7" spans="1:8" x14ac:dyDescent="0.25">
      <c r="A7" s="93" t="s">
        <v>123</v>
      </c>
      <c r="B7" s="38"/>
      <c r="C7" s="38"/>
      <c r="D7" s="38"/>
      <c r="E7" s="38"/>
      <c r="F7" s="34"/>
      <c r="G7" s="34"/>
      <c r="H7" s="34"/>
    </row>
    <row r="8" spans="1:8" x14ac:dyDescent="0.25">
      <c r="A8" s="87" t="s">
        <v>117</v>
      </c>
      <c r="B8" s="42">
        <f>B.sheet!B11</f>
        <v>0</v>
      </c>
      <c r="C8" s="42">
        <f>B.sheet!C11</f>
        <v>0</v>
      </c>
      <c r="D8" s="42">
        <f>B.sheet!D11</f>
        <v>0</v>
      </c>
      <c r="E8" s="42">
        <f>B.sheet!E11</f>
        <v>0</v>
      </c>
      <c r="F8" s="42">
        <f>B.sheet!F11</f>
        <v>0</v>
      </c>
      <c r="G8" s="42">
        <f>B.sheet!G11</f>
        <v>0</v>
      </c>
      <c r="H8" s="15">
        <f>B.sheet!H11</f>
        <v>0</v>
      </c>
    </row>
    <row r="9" spans="1:8" x14ac:dyDescent="0.25">
      <c r="A9" s="87" t="s">
        <v>161</v>
      </c>
      <c r="B9" s="42">
        <f>B.sheet!B12</f>
        <v>0</v>
      </c>
      <c r="C9" s="42">
        <f>B.sheet!C12</f>
        <v>0</v>
      </c>
      <c r="D9" s="42">
        <f>B.sheet!D12</f>
        <v>0</v>
      </c>
      <c r="E9" s="42">
        <f>B.sheet!E12</f>
        <v>0</v>
      </c>
      <c r="F9" s="42">
        <f>B.sheet!F12</f>
        <v>0</v>
      </c>
      <c r="G9" s="42">
        <f>B.sheet!G12</f>
        <v>0</v>
      </c>
      <c r="H9" s="15">
        <f>B.sheet!H12</f>
        <v>0</v>
      </c>
    </row>
    <row r="10" spans="1:8" x14ac:dyDescent="0.25">
      <c r="A10" s="34"/>
      <c r="B10" s="42"/>
      <c r="C10" s="42"/>
      <c r="D10" s="42"/>
      <c r="E10" s="42"/>
      <c r="F10" s="15"/>
      <c r="G10" s="15"/>
      <c r="H10" s="15"/>
    </row>
    <row r="11" spans="1:8" x14ac:dyDescent="0.25">
      <c r="A11" s="41" t="s">
        <v>70</v>
      </c>
      <c r="B11" s="192">
        <f>SUM(B8:B10)</f>
        <v>0</v>
      </c>
      <c r="C11" s="192">
        <f t="shared" ref="C11:H11" si="0">SUM(C8:C10)</f>
        <v>0</v>
      </c>
      <c r="D11" s="192">
        <f t="shared" si="0"/>
        <v>0</v>
      </c>
      <c r="E11" s="192">
        <f t="shared" si="0"/>
        <v>0</v>
      </c>
      <c r="F11" s="192">
        <f t="shared" si="0"/>
        <v>0</v>
      </c>
      <c r="G11" s="192">
        <f t="shared" si="0"/>
        <v>0</v>
      </c>
      <c r="H11" s="188">
        <f t="shared" si="0"/>
        <v>0</v>
      </c>
    </row>
    <row r="12" spans="1:8" x14ac:dyDescent="0.25">
      <c r="A12" s="41"/>
      <c r="B12" s="38"/>
      <c r="C12" s="38"/>
      <c r="D12" s="38"/>
      <c r="E12" s="38"/>
      <c r="F12" s="34"/>
      <c r="G12" s="34"/>
      <c r="H12" s="34"/>
    </row>
    <row r="13" spans="1:8" x14ac:dyDescent="0.25">
      <c r="A13" s="93" t="s">
        <v>124</v>
      </c>
      <c r="B13" s="38"/>
      <c r="C13" s="38"/>
      <c r="D13" s="38"/>
      <c r="E13" s="38"/>
      <c r="F13" s="34"/>
      <c r="G13" s="34"/>
      <c r="H13" s="34"/>
    </row>
    <row r="14" spans="1:8" x14ac:dyDescent="0.25">
      <c r="A14" s="41" t="s">
        <v>119</v>
      </c>
      <c r="B14" s="38">
        <f>B.sheet!B10</f>
        <v>0</v>
      </c>
      <c r="C14" s="38">
        <f>B.sheet!C10</f>
        <v>0</v>
      </c>
      <c r="D14" s="38">
        <f>B.sheet!D10</f>
        <v>0</v>
      </c>
      <c r="E14" s="38">
        <f>B.sheet!E10</f>
        <v>0</v>
      </c>
      <c r="F14" s="38">
        <f>B.sheet!F10</f>
        <v>0</v>
      </c>
      <c r="G14" s="38">
        <f>B.sheet!G10</f>
        <v>0</v>
      </c>
      <c r="H14" s="34">
        <f>B.sheet!H10</f>
        <v>0</v>
      </c>
    </row>
    <row r="15" spans="1:8" x14ac:dyDescent="0.25">
      <c r="A15" s="41" t="s">
        <v>8</v>
      </c>
      <c r="B15" s="38" t="s">
        <v>8</v>
      </c>
      <c r="C15" s="38" t="s">
        <v>8</v>
      </c>
      <c r="D15" s="38" t="s">
        <v>8</v>
      </c>
      <c r="E15" s="38" t="s">
        <v>8</v>
      </c>
      <c r="F15" s="34" t="s">
        <v>8</v>
      </c>
      <c r="G15" s="34" t="s">
        <v>8</v>
      </c>
      <c r="H15" s="34" t="s">
        <v>8</v>
      </c>
    </row>
    <row r="16" spans="1:8" x14ac:dyDescent="0.25">
      <c r="A16" s="41" t="s">
        <v>60</v>
      </c>
      <c r="B16" s="196">
        <f>SUM(B14:B15)</f>
        <v>0</v>
      </c>
      <c r="C16" s="196">
        <f>SUM(C14:C15)</f>
        <v>0</v>
      </c>
      <c r="D16" s="196">
        <f>SUM(D14:D15)</f>
        <v>0</v>
      </c>
      <c r="E16" s="196">
        <f>SUM(E14:E15)</f>
        <v>0</v>
      </c>
      <c r="F16" s="197">
        <f>SUM(F14:F15)</f>
        <v>0</v>
      </c>
      <c r="G16" s="197">
        <f t="shared" ref="G16:H16" si="1">SUM(G14:G15)</f>
        <v>0</v>
      </c>
      <c r="H16" s="197">
        <f t="shared" si="1"/>
        <v>0</v>
      </c>
    </row>
    <row r="17" spans="1:8" x14ac:dyDescent="0.25">
      <c r="A17" s="41"/>
      <c r="B17" s="33"/>
      <c r="C17" s="33"/>
      <c r="D17" s="33"/>
      <c r="E17" s="33"/>
      <c r="F17" s="33"/>
      <c r="G17" s="33"/>
      <c r="H17" s="33"/>
    </row>
    <row r="18" spans="1:8" x14ac:dyDescent="0.25">
      <c r="A18" s="41" t="s">
        <v>233</v>
      </c>
      <c r="B18" s="34"/>
      <c r="C18" s="34"/>
      <c r="D18" s="34"/>
      <c r="E18" s="34"/>
      <c r="F18" s="34"/>
      <c r="G18" s="34"/>
      <c r="H18" s="34"/>
    </row>
    <row r="19" spans="1:8" x14ac:dyDescent="0.25">
      <c r="A19" s="36" t="s">
        <v>125</v>
      </c>
      <c r="B19" s="188" t="e">
        <f>B11/B16</f>
        <v>#DIV/0!</v>
      </c>
      <c r="C19" s="188" t="e">
        <f>C11/C16</f>
        <v>#DIV/0!</v>
      </c>
      <c r="D19" s="188" t="e">
        <f>D11/D16</f>
        <v>#DIV/0!</v>
      </c>
      <c r="E19" s="188" t="e">
        <f>E11/E16</f>
        <v>#DIV/0!</v>
      </c>
      <c r="F19" s="188" t="e">
        <f>F11/F16</f>
        <v>#DIV/0!</v>
      </c>
      <c r="G19" s="188" t="e">
        <f t="shared" ref="G19:H19" si="2">G11/G16</f>
        <v>#DIV/0!</v>
      </c>
      <c r="H19" s="188" t="e">
        <f t="shared" si="2"/>
        <v>#DIV/0!</v>
      </c>
    </row>
    <row r="20" spans="1:8" x14ac:dyDescent="0.25">
      <c r="A20" s="20"/>
      <c r="B20" s="19"/>
      <c r="C20" s="19"/>
      <c r="D20" s="19"/>
      <c r="E20" s="19"/>
      <c r="F20" s="29"/>
      <c r="G20" s="29"/>
      <c r="H20" s="29"/>
    </row>
    <row r="21" spans="1:8" x14ac:dyDescent="0.25">
      <c r="A21" s="20" t="s">
        <v>126</v>
      </c>
      <c r="B21" s="44" t="e">
        <f>AVERAGE(B19:H19)</f>
        <v>#DIV/0!</v>
      </c>
      <c r="C21" s="19"/>
      <c r="D21" s="19"/>
      <c r="E21" s="19"/>
      <c r="F21" s="32"/>
      <c r="G21" s="32"/>
      <c r="H21" s="32"/>
    </row>
    <row r="22" spans="1:8" x14ac:dyDescent="0.25">
      <c r="A22" s="20"/>
      <c r="B22" s="19"/>
      <c r="C22" s="19"/>
      <c r="D22" s="19"/>
      <c r="E22" s="19"/>
      <c r="F22" s="32"/>
      <c r="G22" s="32"/>
      <c r="H22" s="32"/>
    </row>
    <row r="23" spans="1:8" x14ac:dyDescent="0.25">
      <c r="A23" s="25"/>
      <c r="B23" s="30"/>
      <c r="C23" s="30"/>
      <c r="D23" s="30"/>
      <c r="E23" s="30"/>
      <c r="F23" s="31"/>
      <c r="G23" s="31"/>
      <c r="H23" s="31"/>
    </row>
  </sheetData>
  <mergeCells count="2">
    <mergeCell ref="A5:A6"/>
    <mergeCell ref="B5:H5"/>
  </mergeCells>
  <pageMargins left="0" right="0" top="0.74803149606299213" bottom="0.74803149606299213" header="0.31496062992125984" footer="0.31496062992125984"/>
  <pageSetup paperSize="9" scale="88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K21"/>
  <sheetViews>
    <sheetView zoomScaleNormal="100" workbookViewId="0">
      <selection sqref="A1:XFD1048576"/>
    </sheetView>
  </sheetViews>
  <sheetFormatPr defaultRowHeight="15.75" x14ac:dyDescent="0.25"/>
  <cols>
    <col min="1" max="1" width="6.140625" style="122" customWidth="1"/>
    <col min="2" max="2" width="27.5703125" style="122" bestFit="1" customWidth="1"/>
    <col min="3" max="3" width="9.140625" style="122" bestFit="1" customWidth="1"/>
    <col min="4" max="11" width="15.28515625" style="122" customWidth="1"/>
    <col min="12" max="256" width="9.140625" style="122"/>
    <col min="257" max="257" width="6.140625" style="122" customWidth="1"/>
    <col min="258" max="258" width="27.5703125" style="122" bestFit="1" customWidth="1"/>
    <col min="259" max="259" width="9.140625" style="122" bestFit="1" customWidth="1"/>
    <col min="260" max="260" width="20" style="122" bestFit="1" customWidth="1"/>
    <col min="261" max="261" width="18.5703125" style="122" customWidth="1"/>
    <col min="262" max="262" width="11" style="122" customWidth="1"/>
    <col min="263" max="512" width="9.140625" style="122"/>
    <col min="513" max="513" width="6.140625" style="122" customWidth="1"/>
    <col min="514" max="514" width="27.5703125" style="122" bestFit="1" customWidth="1"/>
    <col min="515" max="515" width="9.140625" style="122" bestFit="1" customWidth="1"/>
    <col min="516" max="516" width="20" style="122" bestFit="1" customWidth="1"/>
    <col min="517" max="517" width="18.5703125" style="122" customWidth="1"/>
    <col min="518" max="518" width="11" style="122" customWidth="1"/>
    <col min="519" max="768" width="9.140625" style="122"/>
    <col min="769" max="769" width="6.140625" style="122" customWidth="1"/>
    <col min="770" max="770" width="27.5703125" style="122" bestFit="1" customWidth="1"/>
    <col min="771" max="771" width="9.140625" style="122" bestFit="1" customWidth="1"/>
    <col min="772" max="772" width="20" style="122" bestFit="1" customWidth="1"/>
    <col min="773" max="773" width="18.5703125" style="122" customWidth="1"/>
    <col min="774" max="774" width="11" style="122" customWidth="1"/>
    <col min="775" max="1024" width="9.140625" style="122"/>
    <col min="1025" max="1025" width="6.140625" style="122" customWidth="1"/>
    <col min="1026" max="1026" width="27.5703125" style="122" bestFit="1" customWidth="1"/>
    <col min="1027" max="1027" width="9.140625" style="122" bestFit="1" customWidth="1"/>
    <col min="1028" max="1028" width="20" style="122" bestFit="1" customWidth="1"/>
    <col min="1029" max="1029" width="18.5703125" style="122" customWidth="1"/>
    <col min="1030" max="1030" width="11" style="122" customWidth="1"/>
    <col min="1031" max="1280" width="9.140625" style="122"/>
    <col min="1281" max="1281" width="6.140625" style="122" customWidth="1"/>
    <col min="1282" max="1282" width="27.5703125" style="122" bestFit="1" customWidth="1"/>
    <col min="1283" max="1283" width="9.140625" style="122" bestFit="1" customWidth="1"/>
    <col min="1284" max="1284" width="20" style="122" bestFit="1" customWidth="1"/>
    <col min="1285" max="1285" width="18.5703125" style="122" customWidth="1"/>
    <col min="1286" max="1286" width="11" style="122" customWidth="1"/>
    <col min="1287" max="1536" width="9.140625" style="122"/>
    <col min="1537" max="1537" width="6.140625" style="122" customWidth="1"/>
    <col min="1538" max="1538" width="27.5703125" style="122" bestFit="1" customWidth="1"/>
    <col min="1539" max="1539" width="9.140625" style="122" bestFit="1" customWidth="1"/>
    <col min="1540" max="1540" width="20" style="122" bestFit="1" customWidth="1"/>
    <col min="1541" max="1541" width="18.5703125" style="122" customWidth="1"/>
    <col min="1542" max="1542" width="11" style="122" customWidth="1"/>
    <col min="1543" max="1792" width="9.140625" style="122"/>
    <col min="1793" max="1793" width="6.140625" style="122" customWidth="1"/>
    <col min="1794" max="1794" width="27.5703125" style="122" bestFit="1" customWidth="1"/>
    <col min="1795" max="1795" width="9.140625" style="122" bestFit="1" customWidth="1"/>
    <col min="1796" max="1796" width="20" style="122" bestFit="1" customWidth="1"/>
    <col min="1797" max="1797" width="18.5703125" style="122" customWidth="1"/>
    <col min="1798" max="1798" width="11" style="122" customWidth="1"/>
    <col min="1799" max="2048" width="9.140625" style="122"/>
    <col min="2049" max="2049" width="6.140625" style="122" customWidth="1"/>
    <col min="2050" max="2050" width="27.5703125" style="122" bestFit="1" customWidth="1"/>
    <col min="2051" max="2051" width="9.140625" style="122" bestFit="1" customWidth="1"/>
    <col min="2052" max="2052" width="20" style="122" bestFit="1" customWidth="1"/>
    <col min="2053" max="2053" width="18.5703125" style="122" customWidth="1"/>
    <col min="2054" max="2054" width="11" style="122" customWidth="1"/>
    <col min="2055" max="2304" width="9.140625" style="122"/>
    <col min="2305" max="2305" width="6.140625" style="122" customWidth="1"/>
    <col min="2306" max="2306" width="27.5703125" style="122" bestFit="1" customWidth="1"/>
    <col min="2307" max="2307" width="9.140625" style="122" bestFit="1" customWidth="1"/>
    <col min="2308" max="2308" width="20" style="122" bestFit="1" customWidth="1"/>
    <col min="2309" max="2309" width="18.5703125" style="122" customWidth="1"/>
    <col min="2310" max="2310" width="11" style="122" customWidth="1"/>
    <col min="2311" max="2560" width="9.140625" style="122"/>
    <col min="2561" max="2561" width="6.140625" style="122" customWidth="1"/>
    <col min="2562" max="2562" width="27.5703125" style="122" bestFit="1" customWidth="1"/>
    <col min="2563" max="2563" width="9.140625" style="122" bestFit="1" customWidth="1"/>
    <col min="2564" max="2564" width="20" style="122" bestFit="1" customWidth="1"/>
    <col min="2565" max="2565" width="18.5703125" style="122" customWidth="1"/>
    <col min="2566" max="2566" width="11" style="122" customWidth="1"/>
    <col min="2567" max="2816" width="9.140625" style="122"/>
    <col min="2817" max="2817" width="6.140625" style="122" customWidth="1"/>
    <col min="2818" max="2818" width="27.5703125" style="122" bestFit="1" customWidth="1"/>
    <col min="2819" max="2819" width="9.140625" style="122" bestFit="1" customWidth="1"/>
    <col min="2820" max="2820" width="20" style="122" bestFit="1" customWidth="1"/>
    <col min="2821" max="2821" width="18.5703125" style="122" customWidth="1"/>
    <col min="2822" max="2822" width="11" style="122" customWidth="1"/>
    <col min="2823" max="3072" width="9.140625" style="122"/>
    <col min="3073" max="3073" width="6.140625" style="122" customWidth="1"/>
    <col min="3074" max="3074" width="27.5703125" style="122" bestFit="1" customWidth="1"/>
    <col min="3075" max="3075" width="9.140625" style="122" bestFit="1" customWidth="1"/>
    <col min="3076" max="3076" width="20" style="122" bestFit="1" customWidth="1"/>
    <col min="3077" max="3077" width="18.5703125" style="122" customWidth="1"/>
    <col min="3078" max="3078" width="11" style="122" customWidth="1"/>
    <col min="3079" max="3328" width="9.140625" style="122"/>
    <col min="3329" max="3329" width="6.140625" style="122" customWidth="1"/>
    <col min="3330" max="3330" width="27.5703125" style="122" bestFit="1" customWidth="1"/>
    <col min="3331" max="3331" width="9.140625" style="122" bestFit="1" customWidth="1"/>
    <col min="3332" max="3332" width="20" style="122" bestFit="1" customWidth="1"/>
    <col min="3333" max="3333" width="18.5703125" style="122" customWidth="1"/>
    <col min="3334" max="3334" width="11" style="122" customWidth="1"/>
    <col min="3335" max="3584" width="9.140625" style="122"/>
    <col min="3585" max="3585" width="6.140625" style="122" customWidth="1"/>
    <col min="3586" max="3586" width="27.5703125" style="122" bestFit="1" customWidth="1"/>
    <col min="3587" max="3587" width="9.140625" style="122" bestFit="1" customWidth="1"/>
    <col min="3588" max="3588" width="20" style="122" bestFit="1" customWidth="1"/>
    <col min="3589" max="3589" width="18.5703125" style="122" customWidth="1"/>
    <col min="3590" max="3590" width="11" style="122" customWidth="1"/>
    <col min="3591" max="3840" width="9.140625" style="122"/>
    <col min="3841" max="3841" width="6.140625" style="122" customWidth="1"/>
    <col min="3842" max="3842" width="27.5703125" style="122" bestFit="1" customWidth="1"/>
    <col min="3843" max="3843" width="9.140625" style="122" bestFit="1" customWidth="1"/>
    <col min="3844" max="3844" width="20" style="122" bestFit="1" customWidth="1"/>
    <col min="3845" max="3845" width="18.5703125" style="122" customWidth="1"/>
    <col min="3846" max="3846" width="11" style="122" customWidth="1"/>
    <col min="3847" max="4096" width="9.140625" style="122"/>
    <col min="4097" max="4097" width="6.140625" style="122" customWidth="1"/>
    <col min="4098" max="4098" width="27.5703125" style="122" bestFit="1" customWidth="1"/>
    <col min="4099" max="4099" width="9.140625" style="122" bestFit="1" customWidth="1"/>
    <col min="4100" max="4100" width="20" style="122" bestFit="1" customWidth="1"/>
    <col min="4101" max="4101" width="18.5703125" style="122" customWidth="1"/>
    <col min="4102" max="4102" width="11" style="122" customWidth="1"/>
    <col min="4103" max="4352" width="9.140625" style="122"/>
    <col min="4353" max="4353" width="6.140625" style="122" customWidth="1"/>
    <col min="4354" max="4354" width="27.5703125" style="122" bestFit="1" customWidth="1"/>
    <col min="4355" max="4355" width="9.140625" style="122" bestFit="1" customWidth="1"/>
    <col min="4356" max="4356" width="20" style="122" bestFit="1" customWidth="1"/>
    <col min="4357" max="4357" width="18.5703125" style="122" customWidth="1"/>
    <col min="4358" max="4358" width="11" style="122" customWidth="1"/>
    <col min="4359" max="4608" width="9.140625" style="122"/>
    <col min="4609" max="4609" width="6.140625" style="122" customWidth="1"/>
    <col min="4610" max="4610" width="27.5703125" style="122" bestFit="1" customWidth="1"/>
    <col min="4611" max="4611" width="9.140625" style="122" bestFit="1" customWidth="1"/>
    <col min="4612" max="4612" width="20" style="122" bestFit="1" customWidth="1"/>
    <col min="4613" max="4613" width="18.5703125" style="122" customWidth="1"/>
    <col min="4614" max="4614" width="11" style="122" customWidth="1"/>
    <col min="4615" max="4864" width="9.140625" style="122"/>
    <col min="4865" max="4865" width="6.140625" style="122" customWidth="1"/>
    <col min="4866" max="4866" width="27.5703125" style="122" bestFit="1" customWidth="1"/>
    <col min="4867" max="4867" width="9.140625" style="122" bestFit="1" customWidth="1"/>
    <col min="4868" max="4868" width="20" style="122" bestFit="1" customWidth="1"/>
    <col min="4869" max="4869" width="18.5703125" style="122" customWidth="1"/>
    <col min="4870" max="4870" width="11" style="122" customWidth="1"/>
    <col min="4871" max="5120" width="9.140625" style="122"/>
    <col min="5121" max="5121" width="6.140625" style="122" customWidth="1"/>
    <col min="5122" max="5122" width="27.5703125" style="122" bestFit="1" customWidth="1"/>
    <col min="5123" max="5123" width="9.140625" style="122" bestFit="1" customWidth="1"/>
    <col min="5124" max="5124" width="20" style="122" bestFit="1" customWidth="1"/>
    <col min="5125" max="5125" width="18.5703125" style="122" customWidth="1"/>
    <col min="5126" max="5126" width="11" style="122" customWidth="1"/>
    <col min="5127" max="5376" width="9.140625" style="122"/>
    <col min="5377" max="5377" width="6.140625" style="122" customWidth="1"/>
    <col min="5378" max="5378" width="27.5703125" style="122" bestFit="1" customWidth="1"/>
    <col min="5379" max="5379" width="9.140625" style="122" bestFit="1" customWidth="1"/>
    <col min="5380" max="5380" width="20" style="122" bestFit="1" customWidth="1"/>
    <col min="5381" max="5381" width="18.5703125" style="122" customWidth="1"/>
    <col min="5382" max="5382" width="11" style="122" customWidth="1"/>
    <col min="5383" max="5632" width="9.140625" style="122"/>
    <col min="5633" max="5633" width="6.140625" style="122" customWidth="1"/>
    <col min="5634" max="5634" width="27.5703125" style="122" bestFit="1" customWidth="1"/>
    <col min="5635" max="5635" width="9.140625" style="122" bestFit="1" customWidth="1"/>
    <col min="5636" max="5636" width="20" style="122" bestFit="1" customWidth="1"/>
    <col min="5637" max="5637" width="18.5703125" style="122" customWidth="1"/>
    <col min="5638" max="5638" width="11" style="122" customWidth="1"/>
    <col min="5639" max="5888" width="9.140625" style="122"/>
    <col min="5889" max="5889" width="6.140625" style="122" customWidth="1"/>
    <col min="5890" max="5890" width="27.5703125" style="122" bestFit="1" customWidth="1"/>
    <col min="5891" max="5891" width="9.140625" style="122" bestFit="1" customWidth="1"/>
    <col min="5892" max="5892" width="20" style="122" bestFit="1" customWidth="1"/>
    <col min="5893" max="5893" width="18.5703125" style="122" customWidth="1"/>
    <col min="5894" max="5894" width="11" style="122" customWidth="1"/>
    <col min="5895" max="6144" width="9.140625" style="122"/>
    <col min="6145" max="6145" width="6.140625" style="122" customWidth="1"/>
    <col min="6146" max="6146" width="27.5703125" style="122" bestFit="1" customWidth="1"/>
    <col min="6147" max="6147" width="9.140625" style="122" bestFit="1" customWidth="1"/>
    <col min="6148" max="6148" width="20" style="122" bestFit="1" customWidth="1"/>
    <col min="6149" max="6149" width="18.5703125" style="122" customWidth="1"/>
    <col min="6150" max="6150" width="11" style="122" customWidth="1"/>
    <col min="6151" max="6400" width="9.140625" style="122"/>
    <col min="6401" max="6401" width="6.140625" style="122" customWidth="1"/>
    <col min="6402" max="6402" width="27.5703125" style="122" bestFit="1" customWidth="1"/>
    <col min="6403" max="6403" width="9.140625" style="122" bestFit="1" customWidth="1"/>
    <col min="6404" max="6404" width="20" style="122" bestFit="1" customWidth="1"/>
    <col min="6405" max="6405" width="18.5703125" style="122" customWidth="1"/>
    <col min="6406" max="6406" width="11" style="122" customWidth="1"/>
    <col min="6407" max="6656" width="9.140625" style="122"/>
    <col min="6657" max="6657" width="6.140625" style="122" customWidth="1"/>
    <col min="6658" max="6658" width="27.5703125" style="122" bestFit="1" customWidth="1"/>
    <col min="6659" max="6659" width="9.140625" style="122" bestFit="1" customWidth="1"/>
    <col min="6660" max="6660" width="20" style="122" bestFit="1" customWidth="1"/>
    <col min="6661" max="6661" width="18.5703125" style="122" customWidth="1"/>
    <col min="6662" max="6662" width="11" style="122" customWidth="1"/>
    <col min="6663" max="6912" width="9.140625" style="122"/>
    <col min="6913" max="6913" width="6.140625" style="122" customWidth="1"/>
    <col min="6914" max="6914" width="27.5703125" style="122" bestFit="1" customWidth="1"/>
    <col min="6915" max="6915" width="9.140625" style="122" bestFit="1" customWidth="1"/>
    <col min="6916" max="6916" width="20" style="122" bestFit="1" customWidth="1"/>
    <col min="6917" max="6917" width="18.5703125" style="122" customWidth="1"/>
    <col min="6918" max="6918" width="11" style="122" customWidth="1"/>
    <col min="6919" max="7168" width="9.140625" style="122"/>
    <col min="7169" max="7169" width="6.140625" style="122" customWidth="1"/>
    <col min="7170" max="7170" width="27.5703125" style="122" bestFit="1" customWidth="1"/>
    <col min="7171" max="7171" width="9.140625" style="122" bestFit="1" customWidth="1"/>
    <col min="7172" max="7172" width="20" style="122" bestFit="1" customWidth="1"/>
    <col min="7173" max="7173" width="18.5703125" style="122" customWidth="1"/>
    <col min="7174" max="7174" width="11" style="122" customWidth="1"/>
    <col min="7175" max="7424" width="9.140625" style="122"/>
    <col min="7425" max="7425" width="6.140625" style="122" customWidth="1"/>
    <col min="7426" max="7426" width="27.5703125" style="122" bestFit="1" customWidth="1"/>
    <col min="7427" max="7427" width="9.140625" style="122" bestFit="1" customWidth="1"/>
    <col min="7428" max="7428" width="20" style="122" bestFit="1" customWidth="1"/>
    <col min="7429" max="7429" width="18.5703125" style="122" customWidth="1"/>
    <col min="7430" max="7430" width="11" style="122" customWidth="1"/>
    <col min="7431" max="7680" width="9.140625" style="122"/>
    <col min="7681" max="7681" width="6.140625" style="122" customWidth="1"/>
    <col min="7682" max="7682" width="27.5703125" style="122" bestFit="1" customWidth="1"/>
    <col min="7683" max="7683" width="9.140625" style="122" bestFit="1" customWidth="1"/>
    <col min="7684" max="7684" width="20" style="122" bestFit="1" customWidth="1"/>
    <col min="7685" max="7685" width="18.5703125" style="122" customWidth="1"/>
    <col min="7686" max="7686" width="11" style="122" customWidth="1"/>
    <col min="7687" max="7936" width="9.140625" style="122"/>
    <col min="7937" max="7937" width="6.140625" style="122" customWidth="1"/>
    <col min="7938" max="7938" width="27.5703125" style="122" bestFit="1" customWidth="1"/>
    <col min="7939" max="7939" width="9.140625" style="122" bestFit="1" customWidth="1"/>
    <col min="7940" max="7940" width="20" style="122" bestFit="1" customWidth="1"/>
    <col min="7941" max="7941" width="18.5703125" style="122" customWidth="1"/>
    <col min="7942" max="7942" width="11" style="122" customWidth="1"/>
    <col min="7943" max="8192" width="9.140625" style="122"/>
    <col min="8193" max="8193" width="6.140625" style="122" customWidth="1"/>
    <col min="8194" max="8194" width="27.5703125" style="122" bestFit="1" customWidth="1"/>
    <col min="8195" max="8195" width="9.140625" style="122" bestFit="1" customWidth="1"/>
    <col min="8196" max="8196" width="20" style="122" bestFit="1" customWidth="1"/>
    <col min="8197" max="8197" width="18.5703125" style="122" customWidth="1"/>
    <col min="8198" max="8198" width="11" style="122" customWidth="1"/>
    <col min="8199" max="8448" width="9.140625" style="122"/>
    <col min="8449" max="8449" width="6.140625" style="122" customWidth="1"/>
    <col min="8450" max="8450" width="27.5703125" style="122" bestFit="1" customWidth="1"/>
    <col min="8451" max="8451" width="9.140625" style="122" bestFit="1" customWidth="1"/>
    <col min="8452" max="8452" width="20" style="122" bestFit="1" customWidth="1"/>
    <col min="8453" max="8453" width="18.5703125" style="122" customWidth="1"/>
    <col min="8454" max="8454" width="11" style="122" customWidth="1"/>
    <col min="8455" max="8704" width="9.140625" style="122"/>
    <col min="8705" max="8705" width="6.140625" style="122" customWidth="1"/>
    <col min="8706" max="8706" width="27.5703125" style="122" bestFit="1" customWidth="1"/>
    <col min="8707" max="8707" width="9.140625" style="122" bestFit="1" customWidth="1"/>
    <col min="8708" max="8708" width="20" style="122" bestFit="1" customWidth="1"/>
    <col min="8709" max="8709" width="18.5703125" style="122" customWidth="1"/>
    <col min="8710" max="8710" width="11" style="122" customWidth="1"/>
    <col min="8711" max="8960" width="9.140625" style="122"/>
    <col min="8961" max="8961" width="6.140625" style="122" customWidth="1"/>
    <col min="8962" max="8962" width="27.5703125" style="122" bestFit="1" customWidth="1"/>
    <col min="8963" max="8963" width="9.140625" style="122" bestFit="1" customWidth="1"/>
    <col min="8964" max="8964" width="20" style="122" bestFit="1" customWidth="1"/>
    <col min="8965" max="8965" width="18.5703125" style="122" customWidth="1"/>
    <col min="8966" max="8966" width="11" style="122" customWidth="1"/>
    <col min="8967" max="9216" width="9.140625" style="122"/>
    <col min="9217" max="9217" width="6.140625" style="122" customWidth="1"/>
    <col min="9218" max="9218" width="27.5703125" style="122" bestFit="1" customWidth="1"/>
    <col min="9219" max="9219" width="9.140625" style="122" bestFit="1" customWidth="1"/>
    <col min="9220" max="9220" width="20" style="122" bestFit="1" customWidth="1"/>
    <col min="9221" max="9221" width="18.5703125" style="122" customWidth="1"/>
    <col min="9222" max="9222" width="11" style="122" customWidth="1"/>
    <col min="9223" max="9472" width="9.140625" style="122"/>
    <col min="9473" max="9473" width="6.140625" style="122" customWidth="1"/>
    <col min="9474" max="9474" width="27.5703125" style="122" bestFit="1" customWidth="1"/>
    <col min="9475" max="9475" width="9.140625" style="122" bestFit="1" customWidth="1"/>
    <col min="9476" max="9476" width="20" style="122" bestFit="1" customWidth="1"/>
    <col min="9477" max="9477" width="18.5703125" style="122" customWidth="1"/>
    <col min="9478" max="9478" width="11" style="122" customWidth="1"/>
    <col min="9479" max="9728" width="9.140625" style="122"/>
    <col min="9729" max="9729" width="6.140625" style="122" customWidth="1"/>
    <col min="9730" max="9730" width="27.5703125" style="122" bestFit="1" customWidth="1"/>
    <col min="9731" max="9731" width="9.140625" style="122" bestFit="1" customWidth="1"/>
    <col min="9732" max="9732" width="20" style="122" bestFit="1" customWidth="1"/>
    <col min="9733" max="9733" width="18.5703125" style="122" customWidth="1"/>
    <col min="9734" max="9734" width="11" style="122" customWidth="1"/>
    <col min="9735" max="9984" width="9.140625" style="122"/>
    <col min="9985" max="9985" width="6.140625" style="122" customWidth="1"/>
    <col min="9986" max="9986" width="27.5703125" style="122" bestFit="1" customWidth="1"/>
    <col min="9987" max="9987" width="9.140625" style="122" bestFit="1" customWidth="1"/>
    <col min="9988" max="9988" width="20" style="122" bestFit="1" customWidth="1"/>
    <col min="9989" max="9989" width="18.5703125" style="122" customWidth="1"/>
    <col min="9990" max="9990" width="11" style="122" customWidth="1"/>
    <col min="9991" max="10240" width="9.140625" style="122"/>
    <col min="10241" max="10241" width="6.140625" style="122" customWidth="1"/>
    <col min="10242" max="10242" width="27.5703125" style="122" bestFit="1" customWidth="1"/>
    <col min="10243" max="10243" width="9.140625" style="122" bestFit="1" customWidth="1"/>
    <col min="10244" max="10244" width="20" style="122" bestFit="1" customWidth="1"/>
    <col min="10245" max="10245" width="18.5703125" style="122" customWidth="1"/>
    <col min="10246" max="10246" width="11" style="122" customWidth="1"/>
    <col min="10247" max="10496" width="9.140625" style="122"/>
    <col min="10497" max="10497" width="6.140625" style="122" customWidth="1"/>
    <col min="10498" max="10498" width="27.5703125" style="122" bestFit="1" customWidth="1"/>
    <col min="10499" max="10499" width="9.140625" style="122" bestFit="1" customWidth="1"/>
    <col min="10500" max="10500" width="20" style="122" bestFit="1" customWidth="1"/>
    <col min="10501" max="10501" width="18.5703125" style="122" customWidth="1"/>
    <col min="10502" max="10502" width="11" style="122" customWidth="1"/>
    <col min="10503" max="10752" width="9.140625" style="122"/>
    <col min="10753" max="10753" width="6.140625" style="122" customWidth="1"/>
    <col min="10754" max="10754" width="27.5703125" style="122" bestFit="1" customWidth="1"/>
    <col min="10755" max="10755" width="9.140625" style="122" bestFit="1" customWidth="1"/>
    <col min="10756" max="10756" width="20" style="122" bestFit="1" customWidth="1"/>
    <col min="10757" max="10757" width="18.5703125" style="122" customWidth="1"/>
    <col min="10758" max="10758" width="11" style="122" customWidth="1"/>
    <col min="10759" max="11008" width="9.140625" style="122"/>
    <col min="11009" max="11009" width="6.140625" style="122" customWidth="1"/>
    <col min="11010" max="11010" width="27.5703125" style="122" bestFit="1" customWidth="1"/>
    <col min="11011" max="11011" width="9.140625" style="122" bestFit="1" customWidth="1"/>
    <col min="11012" max="11012" width="20" style="122" bestFit="1" customWidth="1"/>
    <col min="11013" max="11013" width="18.5703125" style="122" customWidth="1"/>
    <col min="11014" max="11014" width="11" style="122" customWidth="1"/>
    <col min="11015" max="11264" width="9.140625" style="122"/>
    <col min="11265" max="11265" width="6.140625" style="122" customWidth="1"/>
    <col min="11266" max="11266" width="27.5703125" style="122" bestFit="1" customWidth="1"/>
    <col min="11267" max="11267" width="9.140625" style="122" bestFit="1" customWidth="1"/>
    <col min="11268" max="11268" width="20" style="122" bestFit="1" customWidth="1"/>
    <col min="11269" max="11269" width="18.5703125" style="122" customWidth="1"/>
    <col min="11270" max="11270" width="11" style="122" customWidth="1"/>
    <col min="11271" max="11520" width="9.140625" style="122"/>
    <col min="11521" max="11521" width="6.140625" style="122" customWidth="1"/>
    <col min="11522" max="11522" width="27.5703125" style="122" bestFit="1" customWidth="1"/>
    <col min="11523" max="11523" width="9.140625" style="122" bestFit="1" customWidth="1"/>
    <col min="11524" max="11524" width="20" style="122" bestFit="1" customWidth="1"/>
    <col min="11525" max="11525" width="18.5703125" style="122" customWidth="1"/>
    <col min="11526" max="11526" width="11" style="122" customWidth="1"/>
    <col min="11527" max="11776" width="9.140625" style="122"/>
    <col min="11777" max="11777" width="6.140625" style="122" customWidth="1"/>
    <col min="11778" max="11778" width="27.5703125" style="122" bestFit="1" customWidth="1"/>
    <col min="11779" max="11779" width="9.140625" style="122" bestFit="1" customWidth="1"/>
    <col min="11780" max="11780" width="20" style="122" bestFit="1" customWidth="1"/>
    <col min="11781" max="11781" width="18.5703125" style="122" customWidth="1"/>
    <col min="11782" max="11782" width="11" style="122" customWidth="1"/>
    <col min="11783" max="12032" width="9.140625" style="122"/>
    <col min="12033" max="12033" width="6.140625" style="122" customWidth="1"/>
    <col min="12034" max="12034" width="27.5703125" style="122" bestFit="1" customWidth="1"/>
    <col min="12035" max="12035" width="9.140625" style="122" bestFit="1" customWidth="1"/>
    <col min="12036" max="12036" width="20" style="122" bestFit="1" customWidth="1"/>
    <col min="12037" max="12037" width="18.5703125" style="122" customWidth="1"/>
    <col min="12038" max="12038" width="11" style="122" customWidth="1"/>
    <col min="12039" max="12288" width="9.140625" style="122"/>
    <col min="12289" max="12289" width="6.140625" style="122" customWidth="1"/>
    <col min="12290" max="12290" width="27.5703125" style="122" bestFit="1" customWidth="1"/>
    <col min="12291" max="12291" width="9.140625" style="122" bestFit="1" customWidth="1"/>
    <col min="12292" max="12292" width="20" style="122" bestFit="1" customWidth="1"/>
    <col min="12293" max="12293" width="18.5703125" style="122" customWidth="1"/>
    <col min="12294" max="12294" width="11" style="122" customWidth="1"/>
    <col min="12295" max="12544" width="9.140625" style="122"/>
    <col min="12545" max="12545" width="6.140625" style="122" customWidth="1"/>
    <col min="12546" max="12546" width="27.5703125" style="122" bestFit="1" customWidth="1"/>
    <col min="12547" max="12547" width="9.140625" style="122" bestFit="1" customWidth="1"/>
    <col min="12548" max="12548" width="20" style="122" bestFit="1" customWidth="1"/>
    <col min="12549" max="12549" width="18.5703125" style="122" customWidth="1"/>
    <col min="12550" max="12550" width="11" style="122" customWidth="1"/>
    <col min="12551" max="12800" width="9.140625" style="122"/>
    <col min="12801" max="12801" width="6.140625" style="122" customWidth="1"/>
    <col min="12802" max="12802" width="27.5703125" style="122" bestFit="1" customWidth="1"/>
    <col min="12803" max="12803" width="9.140625" style="122" bestFit="1" customWidth="1"/>
    <col min="12804" max="12804" width="20" style="122" bestFit="1" customWidth="1"/>
    <col min="12805" max="12805" width="18.5703125" style="122" customWidth="1"/>
    <col min="12806" max="12806" width="11" style="122" customWidth="1"/>
    <col min="12807" max="13056" width="9.140625" style="122"/>
    <col min="13057" max="13057" width="6.140625" style="122" customWidth="1"/>
    <col min="13058" max="13058" width="27.5703125" style="122" bestFit="1" customWidth="1"/>
    <col min="13059" max="13059" width="9.140625" style="122" bestFit="1" customWidth="1"/>
    <col min="13060" max="13060" width="20" style="122" bestFit="1" customWidth="1"/>
    <col min="13061" max="13061" width="18.5703125" style="122" customWidth="1"/>
    <col min="13062" max="13062" width="11" style="122" customWidth="1"/>
    <col min="13063" max="13312" width="9.140625" style="122"/>
    <col min="13313" max="13313" width="6.140625" style="122" customWidth="1"/>
    <col min="13314" max="13314" width="27.5703125" style="122" bestFit="1" customWidth="1"/>
    <col min="13315" max="13315" width="9.140625" style="122" bestFit="1" customWidth="1"/>
    <col min="13316" max="13316" width="20" style="122" bestFit="1" customWidth="1"/>
    <col min="13317" max="13317" width="18.5703125" style="122" customWidth="1"/>
    <col min="13318" max="13318" width="11" style="122" customWidth="1"/>
    <col min="13319" max="13568" width="9.140625" style="122"/>
    <col min="13569" max="13569" width="6.140625" style="122" customWidth="1"/>
    <col min="13570" max="13570" width="27.5703125" style="122" bestFit="1" customWidth="1"/>
    <col min="13571" max="13571" width="9.140625" style="122" bestFit="1" customWidth="1"/>
    <col min="13572" max="13572" width="20" style="122" bestFit="1" customWidth="1"/>
    <col min="13573" max="13573" width="18.5703125" style="122" customWidth="1"/>
    <col min="13574" max="13574" width="11" style="122" customWidth="1"/>
    <col min="13575" max="13824" width="9.140625" style="122"/>
    <col min="13825" max="13825" width="6.140625" style="122" customWidth="1"/>
    <col min="13826" max="13826" width="27.5703125" style="122" bestFit="1" customWidth="1"/>
    <col min="13827" max="13827" width="9.140625" style="122" bestFit="1" customWidth="1"/>
    <col min="13828" max="13828" width="20" style="122" bestFit="1" customWidth="1"/>
    <col min="13829" max="13829" width="18.5703125" style="122" customWidth="1"/>
    <col min="13830" max="13830" width="11" style="122" customWidth="1"/>
    <col min="13831" max="14080" width="9.140625" style="122"/>
    <col min="14081" max="14081" width="6.140625" style="122" customWidth="1"/>
    <col min="14082" max="14082" width="27.5703125" style="122" bestFit="1" customWidth="1"/>
    <col min="14083" max="14083" width="9.140625" style="122" bestFit="1" customWidth="1"/>
    <col min="14084" max="14084" width="20" style="122" bestFit="1" customWidth="1"/>
    <col min="14085" max="14085" width="18.5703125" style="122" customWidth="1"/>
    <col min="14086" max="14086" width="11" style="122" customWidth="1"/>
    <col min="14087" max="14336" width="9.140625" style="122"/>
    <col min="14337" max="14337" width="6.140625" style="122" customWidth="1"/>
    <col min="14338" max="14338" width="27.5703125" style="122" bestFit="1" customWidth="1"/>
    <col min="14339" max="14339" width="9.140625" style="122" bestFit="1" customWidth="1"/>
    <col min="14340" max="14340" width="20" style="122" bestFit="1" customWidth="1"/>
    <col min="14341" max="14341" width="18.5703125" style="122" customWidth="1"/>
    <col min="14342" max="14342" width="11" style="122" customWidth="1"/>
    <col min="14343" max="14592" width="9.140625" style="122"/>
    <col min="14593" max="14593" width="6.140625" style="122" customWidth="1"/>
    <col min="14594" max="14594" width="27.5703125" style="122" bestFit="1" customWidth="1"/>
    <col min="14595" max="14595" width="9.140625" style="122" bestFit="1" customWidth="1"/>
    <col min="14596" max="14596" width="20" style="122" bestFit="1" customWidth="1"/>
    <col min="14597" max="14597" width="18.5703125" style="122" customWidth="1"/>
    <col min="14598" max="14598" width="11" style="122" customWidth="1"/>
    <col min="14599" max="14848" width="9.140625" style="122"/>
    <col min="14849" max="14849" width="6.140625" style="122" customWidth="1"/>
    <col min="14850" max="14850" width="27.5703125" style="122" bestFit="1" customWidth="1"/>
    <col min="14851" max="14851" width="9.140625" style="122" bestFit="1" customWidth="1"/>
    <col min="14852" max="14852" width="20" style="122" bestFit="1" customWidth="1"/>
    <col min="14853" max="14853" width="18.5703125" style="122" customWidth="1"/>
    <col min="14854" max="14854" width="11" style="122" customWidth="1"/>
    <col min="14855" max="15104" width="9.140625" style="122"/>
    <col min="15105" max="15105" width="6.140625" style="122" customWidth="1"/>
    <col min="15106" max="15106" width="27.5703125" style="122" bestFit="1" customWidth="1"/>
    <col min="15107" max="15107" width="9.140625" style="122" bestFit="1" customWidth="1"/>
    <col min="15108" max="15108" width="20" style="122" bestFit="1" customWidth="1"/>
    <col min="15109" max="15109" width="18.5703125" style="122" customWidth="1"/>
    <col min="15110" max="15110" width="11" style="122" customWidth="1"/>
    <col min="15111" max="15360" width="9.140625" style="122"/>
    <col min="15361" max="15361" width="6.140625" style="122" customWidth="1"/>
    <col min="15362" max="15362" width="27.5703125" style="122" bestFit="1" customWidth="1"/>
    <col min="15363" max="15363" width="9.140625" style="122" bestFit="1" customWidth="1"/>
    <col min="15364" max="15364" width="20" style="122" bestFit="1" customWidth="1"/>
    <col min="15365" max="15365" width="18.5703125" style="122" customWidth="1"/>
    <col min="15366" max="15366" width="11" style="122" customWidth="1"/>
    <col min="15367" max="15616" width="9.140625" style="122"/>
    <col min="15617" max="15617" width="6.140625" style="122" customWidth="1"/>
    <col min="15618" max="15618" width="27.5703125" style="122" bestFit="1" customWidth="1"/>
    <col min="15619" max="15619" width="9.140625" style="122" bestFit="1" customWidth="1"/>
    <col min="15620" max="15620" width="20" style="122" bestFit="1" customWidth="1"/>
    <col min="15621" max="15621" width="18.5703125" style="122" customWidth="1"/>
    <col min="15622" max="15622" width="11" style="122" customWidth="1"/>
    <col min="15623" max="15872" width="9.140625" style="122"/>
    <col min="15873" max="15873" width="6.140625" style="122" customWidth="1"/>
    <col min="15874" max="15874" width="27.5703125" style="122" bestFit="1" customWidth="1"/>
    <col min="15875" max="15875" width="9.140625" style="122" bestFit="1" customWidth="1"/>
    <col min="15876" max="15876" width="20" style="122" bestFit="1" customWidth="1"/>
    <col min="15877" max="15877" width="18.5703125" style="122" customWidth="1"/>
    <col min="15878" max="15878" width="11" style="122" customWidth="1"/>
    <col min="15879" max="16128" width="9.140625" style="122"/>
    <col min="16129" max="16129" width="6.140625" style="122" customWidth="1"/>
    <col min="16130" max="16130" width="27.5703125" style="122" bestFit="1" customWidth="1"/>
    <col min="16131" max="16131" width="9.140625" style="122" bestFit="1" customWidth="1"/>
    <col min="16132" max="16132" width="20" style="122" bestFit="1" customWidth="1"/>
    <col min="16133" max="16133" width="18.5703125" style="122" customWidth="1"/>
    <col min="16134" max="16134" width="11" style="122" customWidth="1"/>
    <col min="16135" max="16384" width="9.140625" style="122"/>
  </cols>
  <sheetData>
    <row r="4" spans="1:11" x14ac:dyDescent="0.25">
      <c r="A4" s="233" t="s">
        <v>219</v>
      </c>
      <c r="B4" s="234"/>
      <c r="C4" s="234"/>
      <c r="D4" s="234"/>
      <c r="E4" s="234"/>
      <c r="F4" s="234"/>
      <c r="G4" s="234"/>
      <c r="H4" s="234"/>
      <c r="I4" s="234"/>
      <c r="J4" s="234"/>
      <c r="K4" s="235"/>
    </row>
    <row r="5" spans="1:11" x14ac:dyDescent="0.25">
      <c r="A5" s="123"/>
      <c r="B5" s="124"/>
      <c r="C5" s="124"/>
      <c r="D5" s="124"/>
      <c r="E5" s="125"/>
      <c r="F5" s="125"/>
      <c r="G5" s="125"/>
      <c r="H5" s="125"/>
      <c r="I5" s="125"/>
      <c r="J5" s="125"/>
      <c r="K5" s="125"/>
    </row>
    <row r="6" spans="1:11" x14ac:dyDescent="0.25">
      <c r="A6" s="123"/>
      <c r="B6" s="126" t="s">
        <v>168</v>
      </c>
      <c r="C6" s="124"/>
      <c r="D6" s="124"/>
      <c r="E6" s="125"/>
      <c r="F6" s="125"/>
      <c r="G6" s="125"/>
      <c r="H6" s="125"/>
      <c r="I6" s="125"/>
      <c r="J6" s="125"/>
      <c r="K6" s="125"/>
    </row>
    <row r="7" spans="1:11" x14ac:dyDescent="0.25">
      <c r="A7" s="123"/>
      <c r="B7" s="124"/>
      <c r="C7" s="124"/>
      <c r="D7" s="124"/>
      <c r="E7" s="123" t="s">
        <v>183</v>
      </c>
      <c r="F7" s="123" t="s">
        <v>184</v>
      </c>
      <c r="G7" s="123" t="s">
        <v>185</v>
      </c>
      <c r="H7" s="123" t="s">
        <v>186</v>
      </c>
      <c r="I7" s="123" t="s">
        <v>187</v>
      </c>
      <c r="J7" s="123" t="s">
        <v>188</v>
      </c>
      <c r="K7" s="123" t="s">
        <v>189</v>
      </c>
    </row>
    <row r="8" spans="1:11" x14ac:dyDescent="0.25">
      <c r="A8" s="127" t="s">
        <v>169</v>
      </c>
      <c r="B8" s="125" t="s">
        <v>170</v>
      </c>
      <c r="C8" s="127" t="s">
        <v>171</v>
      </c>
      <c r="D8" s="127" t="s">
        <v>172</v>
      </c>
      <c r="E8" s="127" t="s">
        <v>173</v>
      </c>
      <c r="F8" s="127" t="s">
        <v>173</v>
      </c>
      <c r="G8" s="127" t="s">
        <v>173</v>
      </c>
      <c r="H8" s="127" t="s">
        <v>173</v>
      </c>
      <c r="I8" s="127" t="s">
        <v>173</v>
      </c>
      <c r="J8" s="127" t="s">
        <v>173</v>
      </c>
      <c r="K8" s="127" t="s">
        <v>173</v>
      </c>
    </row>
    <row r="9" spans="1:11" x14ac:dyDescent="0.25">
      <c r="A9" s="127" t="s">
        <v>174</v>
      </c>
      <c r="B9" s="124"/>
      <c r="C9" s="124"/>
      <c r="D9" s="124"/>
      <c r="E9" s="127"/>
      <c r="F9" s="127" t="s">
        <v>190</v>
      </c>
      <c r="G9" s="127" t="s">
        <v>190</v>
      </c>
      <c r="H9" s="127" t="s">
        <v>190</v>
      </c>
      <c r="I9" s="127" t="s">
        <v>190</v>
      </c>
      <c r="J9" s="127" t="s">
        <v>190</v>
      </c>
      <c r="K9" s="127" t="s">
        <v>190</v>
      </c>
    </row>
    <row r="10" spans="1:11" x14ac:dyDescent="0.25">
      <c r="A10" s="127" t="s">
        <v>175</v>
      </c>
      <c r="B10" s="125" t="s">
        <v>176</v>
      </c>
      <c r="C10" s="123"/>
      <c r="D10" s="123"/>
      <c r="E10" s="123"/>
      <c r="F10" s="123"/>
      <c r="G10" s="123"/>
      <c r="H10" s="123"/>
      <c r="I10" s="123"/>
      <c r="J10" s="123"/>
      <c r="K10" s="123"/>
    </row>
    <row r="11" spans="1:11" x14ac:dyDescent="0.25">
      <c r="A11" s="123"/>
      <c r="B11" s="124" t="s">
        <v>177</v>
      </c>
      <c r="C11" s="123">
        <v>1</v>
      </c>
      <c r="D11" s="128">
        <v>15000</v>
      </c>
      <c r="E11" s="128">
        <f>D11*12</f>
        <v>180000</v>
      </c>
      <c r="F11" s="128">
        <f>16000*12</f>
        <v>192000</v>
      </c>
      <c r="G11" s="128">
        <f>17000*12</f>
        <v>204000</v>
      </c>
      <c r="H11" s="128">
        <f>18000*12</f>
        <v>216000</v>
      </c>
      <c r="I11" s="128">
        <f>19000*12</f>
        <v>228000</v>
      </c>
      <c r="J11" s="128">
        <f>20000*12</f>
        <v>240000</v>
      </c>
      <c r="K11" s="128">
        <f>21000*12</f>
        <v>252000</v>
      </c>
    </row>
    <row r="12" spans="1:11" x14ac:dyDescent="0.25">
      <c r="A12" s="127" t="s">
        <v>178</v>
      </c>
      <c r="B12" s="125" t="s">
        <v>179</v>
      </c>
      <c r="C12" s="123"/>
      <c r="D12" s="123"/>
      <c r="E12" s="123"/>
      <c r="F12" s="123"/>
      <c r="G12" s="123"/>
      <c r="H12" s="123"/>
      <c r="I12" s="123"/>
      <c r="J12" s="123"/>
      <c r="K12" s="123"/>
    </row>
    <row r="13" spans="1:11" x14ac:dyDescent="0.25">
      <c r="A13" s="123"/>
      <c r="B13" s="124" t="s">
        <v>191</v>
      </c>
      <c r="C13" s="123">
        <v>1</v>
      </c>
      <c r="D13" s="128">
        <v>12000</v>
      </c>
      <c r="E13" s="128">
        <f>D13*12</f>
        <v>144000</v>
      </c>
      <c r="F13" s="128">
        <f>13000*12</f>
        <v>156000</v>
      </c>
      <c r="G13" s="128">
        <f>14000*12</f>
        <v>168000</v>
      </c>
      <c r="H13" s="128">
        <f>15000*12</f>
        <v>180000</v>
      </c>
      <c r="I13" s="128">
        <f>16000*12</f>
        <v>192000</v>
      </c>
      <c r="J13" s="128">
        <f>17000*12</f>
        <v>204000</v>
      </c>
      <c r="K13" s="128">
        <f>18000*12</f>
        <v>216000</v>
      </c>
    </row>
    <row r="14" spans="1:11" x14ac:dyDescent="0.25">
      <c r="A14" s="124"/>
      <c r="B14" s="124" t="s">
        <v>192</v>
      </c>
      <c r="C14" s="123">
        <v>5</v>
      </c>
      <c r="D14" s="128">
        <f>5000*5</f>
        <v>25000</v>
      </c>
      <c r="E14" s="128">
        <f>D14*12</f>
        <v>300000</v>
      </c>
      <c r="F14" s="128">
        <f>30000*12</f>
        <v>360000</v>
      </c>
      <c r="G14" s="128">
        <f>35000*12</f>
        <v>420000</v>
      </c>
      <c r="H14" s="128">
        <f>40000*12</f>
        <v>480000</v>
      </c>
      <c r="I14" s="128">
        <f>45000*12</f>
        <v>540000</v>
      </c>
      <c r="J14" s="128">
        <f>50000*12</f>
        <v>600000</v>
      </c>
      <c r="K14" s="128">
        <f>55000*12</f>
        <v>660000</v>
      </c>
    </row>
    <row r="15" spans="1:11" x14ac:dyDescent="0.25">
      <c r="A15" s="124"/>
      <c r="B15" s="124" t="s">
        <v>180</v>
      </c>
      <c r="C15" s="123">
        <v>1</v>
      </c>
      <c r="D15" s="128">
        <v>10000</v>
      </c>
      <c r="E15" s="128">
        <f>D15*12</f>
        <v>120000</v>
      </c>
      <c r="F15" s="128">
        <f>11000*12</f>
        <v>132000</v>
      </c>
      <c r="G15" s="128">
        <f>12000*12</f>
        <v>144000</v>
      </c>
      <c r="H15" s="128">
        <f>13000*12</f>
        <v>156000</v>
      </c>
      <c r="I15" s="128">
        <f>14000*12</f>
        <v>168000</v>
      </c>
      <c r="J15" s="128">
        <f>15000*12</f>
        <v>180000</v>
      </c>
      <c r="K15" s="128">
        <f>16000*12</f>
        <v>192000</v>
      </c>
    </row>
    <row r="16" spans="1:11" x14ac:dyDescent="0.25">
      <c r="A16" s="124"/>
      <c r="B16" s="124"/>
      <c r="C16" s="123"/>
      <c r="D16" s="128"/>
      <c r="E16" s="128"/>
      <c r="F16" s="128"/>
      <c r="G16" s="128"/>
      <c r="H16" s="128"/>
      <c r="I16" s="128"/>
      <c r="J16" s="128"/>
      <c r="K16" s="128"/>
    </row>
    <row r="17" spans="1:11" s="151" customFormat="1" x14ac:dyDescent="0.25">
      <c r="A17" s="125"/>
      <c r="B17" s="125" t="s">
        <v>181</v>
      </c>
      <c r="C17" s="127">
        <f>SUM(C11:C15)</f>
        <v>8</v>
      </c>
      <c r="D17" s="127"/>
      <c r="E17" s="129">
        <f t="shared" ref="E17:K17" si="0">SUM(E11:E16)</f>
        <v>744000</v>
      </c>
      <c r="F17" s="129">
        <f t="shared" si="0"/>
        <v>840000</v>
      </c>
      <c r="G17" s="129">
        <f t="shared" si="0"/>
        <v>936000</v>
      </c>
      <c r="H17" s="129">
        <f t="shared" si="0"/>
        <v>1032000</v>
      </c>
      <c r="I17" s="129">
        <f t="shared" si="0"/>
        <v>1128000</v>
      </c>
      <c r="J17" s="129">
        <f t="shared" si="0"/>
        <v>1224000</v>
      </c>
      <c r="K17" s="129">
        <f t="shared" si="0"/>
        <v>1320000</v>
      </c>
    </row>
    <row r="18" spans="1:1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  <c r="K18" s="130"/>
    </row>
    <row r="19" spans="1:11" x14ac:dyDescent="0.25">
      <c r="A19" s="130"/>
      <c r="B19" s="130"/>
      <c r="C19" s="130"/>
      <c r="D19" s="130"/>
      <c r="E19" s="130"/>
      <c r="F19" s="130"/>
      <c r="G19" s="130"/>
      <c r="H19" s="130"/>
      <c r="I19" s="130"/>
      <c r="J19" s="130"/>
      <c r="K19" s="130"/>
    </row>
    <row r="20" spans="1:11" x14ac:dyDescent="0.25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</row>
    <row r="21" spans="1:1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</row>
  </sheetData>
  <mergeCells count="1">
    <mergeCell ref="A4:K4"/>
  </mergeCells>
  <pageMargins left="1" right="0.75" top="1" bottom="1" header="0.5" footer="0.5"/>
  <pageSetup paperSize="9" scale="93" orientation="portrait" verticalDpi="196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opLeftCell="A13" zoomScaleNormal="100" workbookViewId="0">
      <selection activeCell="E25" sqref="E25"/>
    </sheetView>
  </sheetViews>
  <sheetFormatPr defaultRowHeight="13.5" x14ac:dyDescent="0.25"/>
  <cols>
    <col min="1" max="1" width="9.140625" style="172"/>
    <col min="2" max="3" width="13.7109375" style="173" customWidth="1"/>
    <col min="4" max="4" width="9.140625" style="170"/>
    <col min="5" max="6" width="13.7109375" style="170" customWidth="1"/>
    <col min="7" max="7" width="13.85546875" style="170" bestFit="1" customWidth="1"/>
    <col min="8" max="8" width="20.28515625" style="170" bestFit="1" customWidth="1"/>
    <col min="9" max="9" width="23" style="170" bestFit="1" customWidth="1"/>
    <col min="10" max="16384" width="9.140625" style="170"/>
  </cols>
  <sheetData>
    <row r="1" spans="2:5" s="171" customFormat="1" x14ac:dyDescent="0.2"/>
    <row r="4" spans="2:5" x14ac:dyDescent="0.25">
      <c r="B4" s="170"/>
      <c r="C4" s="170"/>
    </row>
    <row r="5" spans="2:5" x14ac:dyDescent="0.25">
      <c r="B5" s="170"/>
      <c r="C5" s="170"/>
    </row>
    <row r="6" spans="2:5" x14ac:dyDescent="0.25">
      <c r="B6" s="170"/>
      <c r="C6" s="161" t="s">
        <v>217</v>
      </c>
      <c r="D6" s="161" t="s">
        <v>215</v>
      </c>
      <c r="E6" s="161" t="s">
        <v>216</v>
      </c>
    </row>
    <row r="7" spans="2:5" x14ac:dyDescent="0.25">
      <c r="B7" s="170"/>
      <c r="C7" s="162">
        <v>1</v>
      </c>
      <c r="D7" s="163">
        <v>5305079</v>
      </c>
      <c r="E7" s="163">
        <v>3388223</v>
      </c>
    </row>
    <row r="8" spans="2:5" x14ac:dyDescent="0.25">
      <c r="B8" s="170"/>
      <c r="C8" s="162">
        <v>2</v>
      </c>
      <c r="D8" s="163">
        <v>5930828</v>
      </c>
      <c r="E8" s="163">
        <v>3437460</v>
      </c>
    </row>
    <row r="9" spans="2:5" x14ac:dyDescent="0.25">
      <c r="B9" s="170"/>
      <c r="C9" s="162">
        <v>3</v>
      </c>
      <c r="D9" s="163">
        <v>7315707</v>
      </c>
      <c r="E9" s="163">
        <v>3492939</v>
      </c>
    </row>
    <row r="10" spans="2:5" x14ac:dyDescent="0.25">
      <c r="B10" s="170"/>
      <c r="C10" s="162">
        <v>4</v>
      </c>
      <c r="D10" s="163">
        <v>8888467</v>
      </c>
      <c r="E10" s="163">
        <v>3555458</v>
      </c>
    </row>
    <row r="11" spans="2:5" x14ac:dyDescent="0.25">
      <c r="B11" s="170"/>
      <c r="C11" s="162">
        <v>5</v>
      </c>
      <c r="D11" s="163">
        <v>10849061</v>
      </c>
      <c r="E11" s="163">
        <v>3625904</v>
      </c>
    </row>
    <row r="12" spans="2:5" x14ac:dyDescent="0.25">
      <c r="B12" s="170"/>
      <c r="C12" s="162">
        <v>6</v>
      </c>
      <c r="D12" s="163">
        <v>13279559</v>
      </c>
      <c r="E12" s="163">
        <v>3705283</v>
      </c>
    </row>
    <row r="13" spans="2:5" x14ac:dyDescent="0.25">
      <c r="B13" s="170"/>
      <c r="C13" s="162">
        <v>7</v>
      </c>
      <c r="D13" s="163">
        <v>14945229</v>
      </c>
      <c r="E13" s="163">
        <v>3794731</v>
      </c>
    </row>
    <row r="14" spans="2:5" x14ac:dyDescent="0.25">
      <c r="B14" s="170"/>
      <c r="C14" s="162" t="s">
        <v>218</v>
      </c>
      <c r="D14" s="163">
        <v>66513930</v>
      </c>
      <c r="E14" s="163">
        <v>24999998</v>
      </c>
    </row>
    <row r="15" spans="2:5" x14ac:dyDescent="0.25">
      <c r="B15" s="170"/>
      <c r="C15" s="161"/>
      <c r="D15" s="161"/>
      <c r="E15" s="161"/>
    </row>
    <row r="16" spans="2:5" x14ac:dyDescent="0.25">
      <c r="B16" s="170"/>
      <c r="C16" s="161"/>
      <c r="D16" s="161"/>
      <c r="E16" s="161"/>
    </row>
    <row r="19" spans="4:9" x14ac:dyDescent="0.25">
      <c r="G19" s="161"/>
      <c r="H19" s="161"/>
      <c r="I19" s="161"/>
    </row>
    <row r="20" spans="4:9" x14ac:dyDescent="0.25">
      <c r="G20" s="161"/>
      <c r="H20" s="161"/>
      <c r="I20" s="161"/>
    </row>
    <row r="21" spans="4:9" x14ac:dyDescent="0.25">
      <c r="G21" s="161"/>
      <c r="H21" s="161"/>
      <c r="I21" s="161"/>
    </row>
    <row r="22" spans="4:9" x14ac:dyDescent="0.25">
      <c r="G22" s="161"/>
      <c r="H22" s="161"/>
      <c r="I22" s="161"/>
    </row>
    <row r="23" spans="4:9" ht="27" x14ac:dyDescent="0.25">
      <c r="D23" s="174" t="s">
        <v>212</v>
      </c>
      <c r="E23" s="175" t="s">
        <v>213</v>
      </c>
      <c r="F23" s="175" t="s">
        <v>214</v>
      </c>
      <c r="G23" s="161"/>
      <c r="H23" s="161"/>
      <c r="I23" s="161"/>
    </row>
    <row r="24" spans="4:9" x14ac:dyDescent="0.25">
      <c r="D24" s="176">
        <v>1</v>
      </c>
      <c r="E24" s="177">
        <v>0</v>
      </c>
      <c r="F24" s="178">
        <v>0</v>
      </c>
      <c r="G24" s="161"/>
      <c r="H24" s="161"/>
      <c r="I24" s="161"/>
    </row>
    <row r="25" spans="4:9" x14ac:dyDescent="0.25">
      <c r="D25" s="176">
        <v>2</v>
      </c>
      <c r="E25" s="177">
        <v>0</v>
      </c>
      <c r="F25" s="178">
        <v>0</v>
      </c>
      <c r="G25" s="161"/>
      <c r="H25" s="161"/>
      <c r="I25" s="161"/>
    </row>
    <row r="26" spans="4:9" x14ac:dyDescent="0.25">
      <c r="D26" s="176">
        <v>3</v>
      </c>
      <c r="E26" s="177">
        <v>0</v>
      </c>
      <c r="F26" s="178">
        <v>0</v>
      </c>
    </row>
    <row r="27" spans="4:9" x14ac:dyDescent="0.25">
      <c r="D27" s="176">
        <v>4</v>
      </c>
      <c r="E27" s="177">
        <v>0</v>
      </c>
      <c r="F27" s="178">
        <v>0</v>
      </c>
    </row>
    <row r="28" spans="4:9" x14ac:dyDescent="0.25">
      <c r="D28" s="176">
        <v>5</v>
      </c>
      <c r="E28" s="177">
        <v>0</v>
      </c>
      <c r="F28" s="178">
        <v>0</v>
      </c>
    </row>
    <row r="29" spans="4:9" x14ac:dyDescent="0.25">
      <c r="D29" s="176">
        <v>6</v>
      </c>
      <c r="E29" s="177">
        <v>0</v>
      </c>
      <c r="F29" s="178">
        <v>0</v>
      </c>
    </row>
    <row r="30" spans="4:9" x14ac:dyDescent="0.25">
      <c r="D30" s="179">
        <v>7</v>
      </c>
      <c r="E30" s="180">
        <v>0</v>
      </c>
      <c r="F30" s="181">
        <v>0</v>
      </c>
    </row>
  </sheetData>
  <pageMargins left="0" right="0" top="0.74803149606299213" bottom="0.74803149606299213" header="0.31496062992125984" footer="0.31496062992125984"/>
  <pageSetup paperSize="9" scale="95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2"/>
  <sheetViews>
    <sheetView topLeftCell="A7" workbookViewId="0">
      <selection activeCell="F24" sqref="F24"/>
    </sheetView>
  </sheetViews>
  <sheetFormatPr defaultRowHeight="12.75" x14ac:dyDescent="0.2"/>
  <cols>
    <col min="1" max="2" width="9.140625" style="161"/>
    <col min="3" max="3" width="10" style="161" bestFit="1" customWidth="1"/>
    <col min="4" max="5" width="9.140625" style="161"/>
    <col min="6" max="6" width="13.85546875" style="161" bestFit="1" customWidth="1"/>
    <col min="7" max="7" width="15" style="161" bestFit="1" customWidth="1"/>
    <col min="8" max="8" width="13.85546875" style="161" customWidth="1"/>
    <col min="9" max="9" width="13.140625" style="161" customWidth="1"/>
    <col min="10" max="10" width="6" style="161" customWidth="1"/>
    <col min="11" max="11" width="10.7109375" style="161" customWidth="1"/>
    <col min="12" max="16384" width="9.140625" style="161"/>
  </cols>
  <sheetData>
    <row r="1" spans="3:10" x14ac:dyDescent="0.2">
      <c r="C1" s="160"/>
    </row>
    <row r="7" spans="3:10" x14ac:dyDescent="0.2">
      <c r="F7" s="162"/>
      <c r="G7" s="163"/>
    </row>
    <row r="8" spans="3:10" x14ac:dyDescent="0.2">
      <c r="F8" s="162"/>
      <c r="G8" s="163"/>
    </row>
    <row r="9" spans="3:10" x14ac:dyDescent="0.2">
      <c r="F9" s="162"/>
      <c r="G9" s="163"/>
    </row>
    <row r="10" spans="3:10" x14ac:dyDescent="0.2">
      <c r="F10" s="162"/>
      <c r="G10" s="163"/>
      <c r="I10" s="163"/>
    </row>
    <row r="11" spans="3:10" x14ac:dyDescent="0.2">
      <c r="F11" s="162"/>
      <c r="G11" s="163"/>
      <c r="I11" s="163"/>
    </row>
    <row r="12" spans="3:10" x14ac:dyDescent="0.2">
      <c r="F12" s="162"/>
      <c r="G12" s="163"/>
      <c r="I12" s="163"/>
    </row>
    <row r="13" spans="3:10" x14ac:dyDescent="0.2">
      <c r="F13" s="162"/>
      <c r="G13" s="163"/>
      <c r="I13" s="163"/>
      <c r="J13" s="163"/>
    </row>
    <row r="14" spans="3:10" x14ac:dyDescent="0.2">
      <c r="F14" s="162"/>
      <c r="G14" s="163"/>
      <c r="I14" s="163"/>
      <c r="J14" s="163"/>
    </row>
    <row r="15" spans="3:10" x14ac:dyDescent="0.2">
      <c r="I15" s="163"/>
      <c r="J15" s="163"/>
    </row>
    <row r="16" spans="3:10" x14ac:dyDescent="0.2">
      <c r="I16" s="163"/>
      <c r="J16" s="163"/>
    </row>
    <row r="17" spans="2:10" x14ac:dyDescent="0.2">
      <c r="I17" s="163"/>
      <c r="J17" s="163"/>
    </row>
    <row r="23" spans="2:10" ht="15" x14ac:dyDescent="0.3">
      <c r="E23" s="164" t="s">
        <v>182</v>
      </c>
      <c r="F23" s="165" t="s">
        <v>207</v>
      </c>
    </row>
    <row r="24" spans="2:10" ht="13.5" x14ac:dyDescent="0.25">
      <c r="E24" s="166">
        <v>1</v>
      </c>
      <c r="F24" s="167">
        <v>0</v>
      </c>
    </row>
    <row r="25" spans="2:10" ht="13.5" x14ac:dyDescent="0.25">
      <c r="E25" s="166">
        <v>2</v>
      </c>
      <c r="F25" s="167">
        <v>0</v>
      </c>
    </row>
    <row r="26" spans="2:10" ht="13.5" x14ac:dyDescent="0.25">
      <c r="E26" s="166">
        <v>3</v>
      </c>
      <c r="F26" s="167">
        <v>0</v>
      </c>
    </row>
    <row r="27" spans="2:10" ht="13.5" x14ac:dyDescent="0.25">
      <c r="E27" s="166">
        <v>4</v>
      </c>
      <c r="F27" s="167">
        <v>0</v>
      </c>
    </row>
    <row r="28" spans="2:10" ht="13.5" x14ac:dyDescent="0.25">
      <c r="E28" s="166">
        <v>5</v>
      </c>
      <c r="F28" s="167">
        <v>0</v>
      </c>
    </row>
    <row r="29" spans="2:10" ht="13.5" x14ac:dyDescent="0.25">
      <c r="E29" s="166">
        <v>6</v>
      </c>
      <c r="F29" s="167">
        <v>0</v>
      </c>
    </row>
    <row r="30" spans="2:10" ht="13.5" x14ac:dyDescent="0.25">
      <c r="E30" s="168">
        <v>7</v>
      </c>
      <c r="F30" s="169">
        <v>0</v>
      </c>
    </row>
    <row r="32" spans="2:10" ht="13.5" x14ac:dyDescent="0.25">
      <c r="B32" s="170"/>
      <c r="C32" s="170"/>
    </row>
  </sheetData>
  <pageMargins left="0" right="0" top="0.74803149606299213" bottom="0.74803149606299213" header="0.31496062992125984" footer="0.31496062992125984"/>
  <pageSetup paperSize="9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2"/>
  <sheetViews>
    <sheetView topLeftCell="A7" workbookViewId="0">
      <selection activeCell="F27" sqref="F27"/>
    </sheetView>
  </sheetViews>
  <sheetFormatPr defaultRowHeight="12.75" x14ac:dyDescent="0.2"/>
  <cols>
    <col min="1" max="2" width="9.140625" style="161"/>
    <col min="3" max="3" width="10" style="161" bestFit="1" customWidth="1"/>
    <col min="4" max="5" width="9.140625" style="161"/>
    <col min="6" max="6" width="13.85546875" style="161" bestFit="1" customWidth="1"/>
    <col min="7" max="7" width="15" style="161" bestFit="1" customWidth="1"/>
    <col min="8" max="8" width="13.85546875" style="161" customWidth="1"/>
    <col min="9" max="9" width="13.140625" style="161" customWidth="1"/>
    <col min="10" max="10" width="6" style="161" customWidth="1"/>
    <col min="11" max="11" width="10.7109375" style="161" customWidth="1"/>
    <col min="12" max="16384" width="9.140625" style="161"/>
  </cols>
  <sheetData>
    <row r="1" spans="3:10" x14ac:dyDescent="0.2">
      <c r="C1" s="160"/>
    </row>
    <row r="7" spans="3:10" x14ac:dyDescent="0.2">
      <c r="F7" s="162"/>
      <c r="G7" s="163"/>
    </row>
    <row r="8" spans="3:10" x14ac:dyDescent="0.2">
      <c r="F8" s="162"/>
      <c r="G8" s="163"/>
    </row>
    <row r="9" spans="3:10" x14ac:dyDescent="0.2">
      <c r="F9" s="162"/>
      <c r="G9" s="163"/>
    </row>
    <row r="10" spans="3:10" x14ac:dyDescent="0.2">
      <c r="F10" s="162"/>
      <c r="G10" s="163"/>
      <c r="I10" s="163"/>
    </row>
    <row r="11" spans="3:10" x14ac:dyDescent="0.2">
      <c r="F11" s="162"/>
      <c r="G11" s="163"/>
      <c r="I11" s="163"/>
    </row>
    <row r="12" spans="3:10" x14ac:dyDescent="0.2">
      <c r="F12" s="162"/>
      <c r="G12" s="163"/>
      <c r="I12" s="163"/>
    </row>
    <row r="13" spans="3:10" x14ac:dyDescent="0.2">
      <c r="F13" s="162"/>
      <c r="G13" s="163"/>
      <c r="I13" s="163"/>
      <c r="J13" s="163"/>
    </row>
    <row r="14" spans="3:10" x14ac:dyDescent="0.2">
      <c r="F14" s="162"/>
      <c r="G14" s="163"/>
      <c r="I14" s="163"/>
      <c r="J14" s="163"/>
    </row>
    <row r="15" spans="3:10" x14ac:dyDescent="0.2">
      <c r="I15" s="163"/>
      <c r="J15" s="163"/>
    </row>
    <row r="16" spans="3:10" x14ac:dyDescent="0.2">
      <c r="I16" s="163"/>
      <c r="J16" s="163"/>
    </row>
    <row r="17" spans="2:10" x14ac:dyDescent="0.2">
      <c r="I17" s="163"/>
      <c r="J17" s="163"/>
    </row>
    <row r="23" spans="2:10" ht="15" x14ac:dyDescent="0.3">
      <c r="E23" s="164" t="s">
        <v>182</v>
      </c>
      <c r="F23" s="165" t="s">
        <v>211</v>
      </c>
    </row>
    <row r="24" spans="2:10" ht="13.5" x14ac:dyDescent="0.25">
      <c r="E24" s="166">
        <v>1</v>
      </c>
      <c r="F24" s="167">
        <v>0</v>
      </c>
    </row>
    <row r="25" spans="2:10" ht="13.5" x14ac:dyDescent="0.25">
      <c r="E25" s="166">
        <v>2</v>
      </c>
      <c r="F25" s="167">
        <v>0</v>
      </c>
    </row>
    <row r="26" spans="2:10" ht="13.5" x14ac:dyDescent="0.25">
      <c r="E26" s="166">
        <v>3</v>
      </c>
      <c r="F26" s="167">
        <v>0</v>
      </c>
    </row>
    <row r="27" spans="2:10" ht="13.5" x14ac:dyDescent="0.25">
      <c r="E27" s="166">
        <v>4</v>
      </c>
      <c r="F27" s="167">
        <v>0</v>
      </c>
    </row>
    <row r="28" spans="2:10" ht="13.5" x14ac:dyDescent="0.25">
      <c r="E28" s="166">
        <v>5</v>
      </c>
      <c r="F28" s="167">
        <v>0</v>
      </c>
    </row>
    <row r="29" spans="2:10" ht="13.5" x14ac:dyDescent="0.25">
      <c r="E29" s="166">
        <v>6</v>
      </c>
      <c r="F29" s="167">
        <v>0</v>
      </c>
    </row>
    <row r="30" spans="2:10" ht="13.5" x14ac:dyDescent="0.25">
      <c r="E30" s="168">
        <v>7</v>
      </c>
      <c r="F30" s="169">
        <v>0</v>
      </c>
    </row>
    <row r="32" spans="2:10" ht="13.5" x14ac:dyDescent="0.25">
      <c r="B32" s="170"/>
      <c r="C32" s="170"/>
    </row>
  </sheetData>
  <pageMargins left="0" right="0" top="0.74803149606299213" bottom="0.74803149606299213" header="0.31496062992125984" footer="0.31496062992125984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5</vt:i4>
      </vt:variant>
    </vt:vector>
  </HeadingPairs>
  <TitlesOfParts>
    <vt:vector size="27" baseType="lpstr">
      <vt:lpstr>Cover Page</vt:lpstr>
      <vt:lpstr>Index</vt:lpstr>
      <vt:lpstr>PROJECT AT GLANCE</vt:lpstr>
      <vt:lpstr>FEASIBILITY REPORT</vt:lpstr>
      <vt:lpstr>Cost</vt:lpstr>
      <vt:lpstr>profit</vt:lpstr>
      <vt:lpstr>B.sheet</vt:lpstr>
      <vt:lpstr>Cash</vt:lpstr>
      <vt:lpstr>Depr.</vt:lpstr>
      <vt:lpstr>Capital Account</vt:lpstr>
      <vt:lpstr>BEP</vt:lpstr>
      <vt:lpstr>ROCE</vt:lpstr>
      <vt:lpstr>DSCR</vt:lpstr>
      <vt:lpstr>FACR</vt:lpstr>
      <vt:lpstr>Current Ratio</vt:lpstr>
      <vt:lpstr>Quick ratio</vt:lpstr>
      <vt:lpstr>TOL TNW</vt:lpstr>
      <vt:lpstr>DEBT EQUITY</vt:lpstr>
      <vt:lpstr>Salary</vt:lpstr>
      <vt:lpstr>Current Assets Chart</vt:lpstr>
      <vt:lpstr>Profit Chart</vt:lpstr>
      <vt:lpstr>Sales Chart</vt:lpstr>
      <vt:lpstr>B.sheet!Print_Area</vt:lpstr>
      <vt:lpstr>Cash!Print_Area</vt:lpstr>
      <vt:lpstr>Cost!Print_Area</vt:lpstr>
      <vt:lpstr>'Current Assets Chart'!Print_Area</vt:lpstr>
      <vt:lpstr>profit!Print_Area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Subramanya</dc:creator>
  <cp:lastModifiedBy>Windows User</cp:lastModifiedBy>
  <cp:lastPrinted>2020-04-01T14:31:10Z</cp:lastPrinted>
  <dcterms:created xsi:type="dcterms:W3CDTF">2001-03-09T05:50:55Z</dcterms:created>
  <dcterms:modified xsi:type="dcterms:W3CDTF">2020-04-08T04:10:17Z</dcterms:modified>
</cp:coreProperties>
</file>